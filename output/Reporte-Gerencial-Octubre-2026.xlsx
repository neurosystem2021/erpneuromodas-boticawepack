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01d9e85bf347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00dc5eddeef4a8d"/>
    <x:sheet xmlns:r="http://schemas.openxmlformats.org/officeDocument/2006/relationships" name="Diario" sheetId="2" r:id="Rac0dba0526324ea8"/>
    <x:sheet xmlns:r="http://schemas.openxmlformats.org/officeDocument/2006/relationships" name="Ventas" sheetId="3" r:id="Rc6fc4e5a9e024a6d"/>
    <x:sheet xmlns:r="http://schemas.openxmlformats.org/officeDocument/2006/relationships" name="Caja y bancos" sheetId="4" r:id="R249b16863dc34393"/>
    <x:sheet xmlns:r="http://schemas.openxmlformats.org/officeDocument/2006/relationships" name="Criterios" sheetId="5" r:id="R0d0d64c9296a4f5c"/>
  </x:sheets>
</x:workbook>
</file>

<file path=xl/sharedStrings.xml><?xml version="1.0" encoding="utf-8"?>
<x:sst xmlns:x="http://schemas.openxmlformats.org/spreadsheetml/2006/main">
  <x:si>
    <x:t xml:space="preserve">CONSOLIDADO GERENCIAL</x:t>
  </x:si>
  <x:si>
    <x:t xml:space="preserve">2026-10-01 al 2026-10-16 · Todos los usuarios y almacenes · Soles</x:t>
  </x:si>
  <x:si>
    <x:t xml:space="preserve">Línea de negocio</x:t>
  </x:si>
  <x:si>
    <x:t xml:space="preserve">Servicios</x:t>
  </x:si>
  <x:si>
    <x:t xml:space="preserve">Mercadería</x:t>
  </x:si>
  <x:si>
    <x:t xml:space="preserve">Sin clasificar</x:t>
  </x:si>
  <x:si>
    <x:t xml:space="preserve">TOTAL EMPRESA</x:t>
  </x:si>
  <x:si>
    <x:t xml:space="preserve">Venta neta</x:t>
  </x:si>
  <x:si>
    <x:t xml:space="preserve">Costo vendido</x:t>
  </x:si>
  <x:si>
    <x:t xml:space="preserve">UTILIDAD BRUTA</x:t>
  </x:si>
  <x:si>
    <x:t xml:space="preserve">Margen bruto</x:t>
  </x:si>
  <x:si>
    <x:t xml:space="preserve">Resultado operativo</x:t>
  </x:si>
  <x:si>
    <x:t xml:space="preserve">Importe (S/)</x:t>
  </x:si>
  <x:si>
    <x:t xml:space="preserve">Utilidad bruta total</x:t>
  </x:si>
  <x:si>
    <x:t xml:space="preserve">Gastos operativos</x:t>
  </x:si>
  <x:si>
    <x:t xml:space="preserve">Pagos de personal</x:t>
  </x:si>
  <x:si>
    <x:t xml:space="preserve">UTILIDAD NETA OPERATIVA ESTIMADA</x:t>
  </x:si>
  <x:si>
    <x:t xml:space="preserve">Salidas reales de dinero</x:t>
  </x:si>
  <x:si>
    <x:t xml:space="preserve">Control de caja y bancos</x:t>
  </x:si>
  <x:si>
    <x:t xml:space="preserve">Pagos a proveedores</x:t>
  </x:si>
  <x:si>
    <x:t xml:space="preserve">Cobros Yape / Plin</x:t>
  </x:si>
  <x:si>
    <x:t xml:space="preserve">Traslados internos</x:t>
  </x:si>
  <x:si>
    <x:t xml:space="preserve">Ingresos registrados</x:t>
  </x:si>
  <x:si>
    <x:t xml:space="preserve">Otras salidas no operativas</x:t>
  </x:si>
  <x:si>
    <x:t xml:space="preserve">Salidas por clasificar</x:t>
  </x:si>
  <x:si>
    <x:t xml:space="preserve">Yape no es gasto ni salida.</x:t>
  </x:si>
  <x:si>
    <x:t xml:space="preserve">TOTAL SALIDAS EXTERNAS</x:t>
  </x:si>
  <x:si>
    <x:t xml:space="preserve">No duplica las ventas.</x:t>
  </x:si>
  <x:si>
    <x:t xml:space="preserve">Proyección por promedio histórico</x:t>
  </x:si>
  <x:si>
    <x:t xml:space="preserve">Valor</x:t>
  </x:si>
  <x:si>
    <x:t xml:space="preserve">Días calendario del período</x:t>
  </x:si>
  <x:si>
    <x:t xml:space="preserve">Base: promedio del período.</x:t>
  </x:si>
  <x:si>
    <x:t xml:space="preserve">Utilidad neta promedio por día</x:t>
  </x:si>
  <x:si>
    <x:t xml:space="preserve">Incluye días sin actividad.</x:t>
  </x:si>
  <x:si>
    <x:t xml:space="preserve">Días a proyectar (editable)</x:t>
  </x:si>
  <x:si>
    <x:t xml:space="preserve">No es un saldo bancario.</x:t>
  </x:si>
  <x:si>
    <x:t xml:space="preserve">UTILIDAD NETA PROYECTADA</x:t>
  </x:si>
  <x:si>
    <x:t xml:space="preserve">Utilidad neta estimada según costos, gastos y personal registrados. Ver criterios y cobertura.</x:t>
  </x:si>
  <x:si>
    <x:t xml:space="preserve">Pagos de compras a proveedores se muestran como salidas sin duplicar el costo vendido.</x:t>
  </x:si>
  <x:si>
    <x:t xml:space="preserve">Fecha</x:t>
  </x:si>
  <x:si>
    <x:t xml:space="preserve">Venta servicios</x:t>
  </x:si>
  <x:si>
    <x:t xml:space="preserve">Venta mercadería</x:t>
  </x:si>
  <x:si>
    <x:t xml:space="preserve">Venta sin clasificar</x:t>
  </x:si>
  <x:si>
    <x:t xml:space="preserve">Venta total</x:t>
  </x:si>
  <x:si>
    <x:t xml:space="preserve">Costo servicios</x:t>
  </x:si>
  <x:si>
    <x:t xml:space="preserve">Costo mercadería</x:t>
  </x:si>
  <x:si>
    <x:t xml:space="preserve">Costo sin clasificar</x:t>
  </x:si>
  <x:si>
    <x:t xml:space="preserve">Costo total</x:t>
  </x:si>
  <x:si>
    <x:t xml:space="preserve">U. bruta servicios</x:t>
  </x:si>
  <x:si>
    <x:t xml:space="preserve">U. bruta mercadería</x:t>
  </x:si>
  <x:si>
    <x:t xml:space="preserve">U. bruta total</x:t>
  </x:si>
  <x:si>
    <x:t xml:space="preserve">U. neta operativa estimada</x:t>
  </x:si>
  <x:si>
    <x:t xml:space="preserve">Salidas registradas</x:t>
  </x:si>
  <x:si>
    <x:t xml:space="preserve">Salidas externas</x:t>
  </x:si>
  <x:si>
    <x:t xml:space="preserve">Ingresos caja registrados</x:t>
  </x:si>
  <x:si>
    <x:t xml:space="preserve">U. neta acumulada</x:t>
  </x:si>
  <x:si>
    <x:t xml:space="preserve">Usuario</x:t>
  </x:si>
  <x:si>
    <x:t xml:space="preserve">Documento</x:t>
  </x:si>
  <x:si>
    <x:t xml:space="preserve">Tipo</x:t>
  </x:si>
  <x:si>
    <x:t xml:space="preserve">Producto</x:t>
  </x:si>
  <x:si>
    <x:t xml:space="preserve">Cantidad</x:t>
  </x:si>
  <x:si>
    <x:t xml:space="preserve">Precio unitario</x:t>
  </x:si>
  <x:si>
    <x:t xml:space="preserve">Descuento registrado</x:t>
  </x:si>
  <x:si>
    <x:t xml:space="preserve">Costo</x:t>
  </x:si>
  <x:si>
    <x:t xml:space="preserve">Utilidad bruta</x:t>
  </x:si>
  <x:si>
    <x:t xml:space="preserve">Origen del costo</x:t>
  </x:si>
  <x:si>
    <x:t xml:space="preserve">admin</x:t>
  </x:si>
  <x:si>
    <x:t xml:space="preserve">B012-1</x:t>
  </x:si>
  <x:si>
    <x:t xml:space="preserve">CAMARA DOMO 1MP HDCVI CAMERA HD HAC-T1A11N</x:t>
  </x:si>
  <x:si>
    <x:t xml:space="preserve">Costo de la venta</x:t>
  </x:si>
  <x:si>
    <x:t xml:space="preserve">B012-2</x:t>
  </x:si>
  <x:si>
    <x:t xml:space="preserve">superadmin</x:t>
  </x:si>
  <x:si>
    <x:t xml:space="preserve">B012-3</x:t>
  </x:si>
  <x:si>
    <x:t xml:space="preserve">B012-4</x:t>
  </x:si>
  <x:si>
    <x:t xml:space="preserve">B012-5</x:t>
  </x:si>
  <x:si>
    <x:t xml:space="preserve">HP LAPTOP 15-FD2378LA INTEL U7-255U 24GB 512GB FREEDOS</x:t>
  </x:si>
  <x:si>
    <x:t xml:space="preserve">B012-6</x:t>
  </x:si>
  <x:si>
    <x:t xml:space="preserve">B012-7</x:t>
  </x:si>
  <x:si>
    <x:t xml:space="preserve">B012-8</x:t>
  </x:si>
  <x:si>
    <x:t xml:space="preserve">B012-9</x:t>
  </x:si>
  <x:si>
    <x:t xml:space="preserve">B012-10</x:t>
  </x:si>
  <x:si>
    <x:t xml:space="preserve">B012-11</x:t>
  </x:si>
  <x:si>
    <x:t xml:space="preserve">B012-12</x:t>
  </x:si>
  <x:si>
    <x:t xml:space="preserve">ID</x:t>
  </x:si>
  <x:si>
    <x:t xml:space="preserve">Cuenta</x:t>
  </x:si>
  <x:si>
    <x:t xml:space="preserve">Operación registrada</x:t>
  </x:si>
  <x:si>
    <x:t xml:space="preserve">Concepto</x:t>
  </x:si>
  <x:si>
    <x:t xml:space="preserve">Proveedor</x:t>
  </x:si>
  <x:si>
    <x:t xml:space="preserve">Clasificación gerencial</x:t>
  </x:si>
  <x:si>
    <x:t xml:space="preserve">Banco BCP</x:t>
  </x:si>
  <x:si>
    <x:t xml:space="preserve">ENTREGA DE DINERO O DEPOSITO A BANCOS BCP-BBVA-NACION</x:t>
  </x:si>
  <x:si>
    <x:t xml:space="preserve">compra camaras</x:t>
  </x:si>
  <x:si>
    <x:t xml:space="preserve">DIGICORP</x:t>
  </x:si>
  <x:si>
    <x:t xml:space="preserve">proveedor</x:t>
  </x:si>
  <x:si>
    <x:t xml:space="preserve">compra de camaras op 23456</x:t>
  </x:si>
  <x:si>
    <x:t xml:space="preserve">Bancos Varios</x:t>
  </x:si>
  <x:si>
    <x:t xml:space="preserve">compra de computadoras deltron</x:t>
  </x:si>
  <x:si>
    <x:t xml:space="preserve">ANS &amp; J.V. S.A.C.</x:t>
  </x:si>
  <x:si>
    <x:t xml:space="preserve">Caja Principal</x:t>
  </x:si>
  <x:si>
    <x:t xml:space="preserve">VALE DE EGRESO</x:t>
  </x:si>
  <x:si>
    <x:t xml:space="preserve">Gasto Proyecto PROYECTO 310 - adelanto</x:t>
  </x:si>
  <x:si>
    <x:t xml:space="preserve">gasto</x:t>
  </x:si>
  <x:si>
    <x:t xml:space="preserve">PAGO DE CLIENTE</x:t>
  </x:si>
  <x:si>
    <x:t xml:space="preserve">Adelanto Proyecto PROYECTO 308 - adelanto de impresora</x:t>
  </x:si>
  <x:si>
    <x:t xml:space="preserve">ingreso</x:t>
  </x:si>
  <x:si>
    <x:t xml:space="preserve">PAGO A PERSONAL</x:t>
  </x:si>
  <x:si>
    <x:t xml:space="preserve">PLANILLA ADELANTO - FIORELA DEL PILAR ALARCON RAMIREZ / 2026-10 / 543678</x:t>
  </x:si>
  <x:si>
    <x:t xml:space="preserve">personal</x:t>
  </x:si>
  <x:si>
    <x:t xml:space="preserve">PLANILLA ADELANTO - FIORELA DEL PILAR ALARCON RAMIREZ / 2026-10 / 456346346 ADELANTO</x:t>
  </x:si>
  <x:si>
    <x:t xml:space="preserve">CRITERIOS Y COBERTURA</x:t>
  </x:si>
  <x:si>
    <x:t xml:space="preserve">Consolidado de todos los usuarios y almacenes. Importes en soles según registros del sistema, sin ajuste adicional de IGV.</x:t>
  </x:si>
  <x:si>
    <x:t xml:space="preserve">Ventas válidas: factura, boleta y nota de venta. Notas de crédito restan venta y costo registrados. Se excluyen anulados, proformas y ofertas (código 99).</x:t>
  </x:si>
  <x:si>
    <x:t xml:space="preserve">Utilidad neta operativa estimada = utilidad bruta - gastos operativos - pagos de personal. No incluye impuestos a la renta, depreciaciones ni obligaciones no registradas.</x:t>
  </x:si>
  <x:si>
    <x:t xml:space="preserve">Pagos a proveedores se muestran como salidas; no se descuentan otra vez de la utilidad porque el costo vendido ya está incluido. Si un pago corresponde a un gasto, reclasifica su tipo como gasto operativo.</x:t>
  </x:si>
  <x:si>
    <x:t xml:space="preserve">Cobros Yape/Plin se muestran aparte: no son salidas, gastos ni ventas adicionales. Se reconoce también el registro automático antiguo YAPE/PLIN. Otros registros del antiguo tipo 7 requieren clasificación.</x:t>
  </x:si>
  <x:si>
    <x:t xml:space="preserve">Los registros automáticos Tarjeta/Transferencia de ventas no se consideran gasto. Los demás registros del tipo depósitos requieren clasificar su destino real; pueden ser compras, gastos o traslados.</x:t>
  </x:si>
  <x:si>
    <x:t xml:space="preserve">Otras salidas no operativas se muestran sin reducir utilidad. Revisa su clasificación. El detalle de caja contiene todos los registros no anulados del período.</x:t>
  </x:si>
  <x:si>
    <x:t xml:space="preserve">La proyección es el promedio diario del período multiplicado por los días elegidos, incluidos días sin actividad. No es una garantía ni un saldo bancario.</x:t>
  </x:si>
  <x:si>
    <x:t xml:space="preserve">Este reporte usa gastos y pagos registrados en Caja y Banco. Compras, planillas o deudas sin pago registrado no se convierten automáticamente en gastos del período.</x:t>
  </x:si>
  <x:si>
    <x:t xml:space="preserve">Regla general por tipo. Las excepciones por movimiento se muestran en Caja y bancos.</x:t>
  </x:si>
  <x:si>
    <x:t xml:space="preserve">Tipo de caja</x:t>
  </x:si>
  <x:si>
    <x:t xml:space="preserve">Clasificación aplicada</x:t>
  </x:si>
  <x:si>
    <x:t xml:space="preserve">Importe registrado</x:t>
  </x:si>
  <x:si>
    <x:t xml:space="preserve">PAGO A PROVEEDOR</x:t>
  </x:si>
  <x:si>
    <x:t xml:space="preserve">pendiente</x:t>
  </x:si>
  <x:si>
    <x:t xml:space="preserve">PAGOS ANTIGUOS (ANTES YAPE)</x:t>
  </x:si>
</x:sst>
</file>

<file path=xl/styles.xml><?xml version="1.0" encoding="utf-8"?>
<x:styleSheet xmlns:x="http://schemas.openxmlformats.org/spreadsheetml/2006/main">
  <x:numFmts count="3">
    <x:numFmt numFmtId="164" formatCode="dd/mm/yyyy"/>
    <x:numFmt numFmtId="165" formatCode="#,##0.00;[Red](#,##0.00);&quot;-&quot;"/>
    <x:numFmt numFmtId="166" formatCode="0.0%;(0.0%);&quot;-&quot;"/>
  </x:numFmts>
  <x:fonts count="8">
    <x:font>
      <x:u val="none"/>
      <x:sz val="10"/>
      <x:color rgb="FF000000"/>
      <x:name val="Arial"/>
    </x:font>
    <x:font>
      <x:b/>
      <x:u val="none"/>
      <x:sz val="16"/>
      <x:color rgb="FF000000"/>
      <x:name val="Arial"/>
    </x:font>
    <x:font>
      <x:b/>
      <x:u val="none"/>
      <x:sz val="10"/>
      <x:color rgb="FFFFFFFF"/>
      <x:name val="Arial"/>
    </x:font>
    <x:font>
      <x:i/>
      <x:u val="none"/>
      <x:sz val="10"/>
      <x:color rgb="FF000000"/>
      <x:name val="Arial"/>
    </x:font>
    <x:font>
      <x:u val="none"/>
      <x:sz val="10"/>
      <x:color rgb="FF0000FF"/>
      <x:name val="Arial"/>
    </x:font>
    <x:font>
      <x:b/>
      <x:u val="none"/>
      <x:sz val="10"/>
      <x:color rgb="FF000000"/>
      <x:name val="Arial"/>
    </x:font>
    <x:font>
      <x:i/>
      <x:u val="none"/>
      <x:sz val="9"/>
      <x:color rgb="FF000000"/>
      <x:name val="Arial"/>
    </x:font>
    <x:font>
      <x:b/>
      <x:u val="none"/>
      <x:sz val="14"/>
      <x:color rgb="FF000000"/>
      <x:name val="Arial"/>
    </x:font>
  </x:fonts>
  <x:fills count="5">
    <x:fill>
      <x:patternFill patternType="none"/>
    </x:fill>
    <x:fill>
      <x:patternFill patternType="gray125">
        <x:fgColor rgb="FFFFFFFF"/>
        <x:bgColor rgb="FF000000"/>
      </x:patternFill>
    </x:fill>
    <x:fill>
      <x:patternFill patternType="solid">
        <x:fgColor rgb="FF163A52"/>
      </x:patternFill>
    </x:fill>
    <x:fill>
      <x:patternFill patternType="solid">
        <x:fgColor rgb="FFFFF2CC"/>
      </x:patternFill>
    </x:fill>
    <x:fill>
      <x:patternFill patternType="solid">
        <x:fgColor rgb="FFE8F1F5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 applyNumberFormat="0" applyFont="0" applyFill="0" applyBorder="0" applyAlignment="0">
      <x:alignment horizontal="general" vertical="bottom" wrapText="0" shrinkToFit="0"/>
    </x:xf>
    <x:xf numFmtId="0" fontId="1" fillId="0" borderId="0" xfId="0" applyNumberFormat="0" applyFont="1" applyFill="0" applyBorder="0" applyAlignment="0">
      <x:alignment horizontal="general" vertical="bottom" wrapText="0" shrinkToFit="0"/>
    </x:xf>
    <x:xf numFmtId="0" fontId="2" fillId="2" borderId="0" xfId="0" applyNumberFormat="0" applyFont="1" applyFill="1" applyBorder="0" applyAlignment="1">
      <x:alignment horizontal="center" vertical="center" wrapText="1" shrinkToFit="0"/>
    </x:xf>
    <x:xf numFmtId="164" fontId="0" fillId="0" borderId="0" xfId="0" applyNumberFormat="1" applyFont="0" applyFill="0" applyBorder="0" applyAlignment="0">
      <x:alignment horizontal="general" vertical="bottom" wrapText="0" shrinkToFit="0"/>
    </x:xf>
    <x:xf numFmtId="165" fontId="0" fillId="0" borderId="0" xfId="0" applyNumberFormat="1" applyFont="0" applyFill="0" applyBorder="0" applyAlignment="0">
      <x:alignment horizontal="general" vertical="bottom" wrapText="0" shrinkToFit="0"/>
    </x:xf>
    <x:xf numFmtId="165" fontId="0" fillId="0" borderId="0" xfId="0" applyNumberFormat="1" applyFont="0" applyFill="0" applyBorder="0" applyAlignment="1">
      <x:alignment horizontal="right" vertical="bottom" wrapText="0" shrinkToFit="0"/>
    </x:xf>
    <x:xf numFmtId="166" fontId="3" fillId="0" borderId="0" xfId="0" applyNumberFormat="1" applyFont="1" applyFill="0" applyBorder="0" applyAlignment="1">
      <x:alignment horizontal="right" vertical="bottom" wrapText="0" shrinkToFit="0"/>
    </x:xf>
    <x:xf numFmtId="1" fontId="0" fillId="0" borderId="0" xfId="0" applyNumberFormat="1" applyFont="0" applyFill="0" applyBorder="0" applyAlignment="1">
      <x:alignment horizontal="right" vertical="bottom" wrapText="0" shrinkToFit="0"/>
    </x:xf>
    <x:xf numFmtId="1" fontId="4" fillId="3" borderId="0" xfId="0" applyNumberFormat="1" applyFont="1" applyFill="1" applyBorder="0" applyAlignment="1">
      <x:alignment horizontal="right" vertical="bottom" wrapText="0" shrinkToFit="0"/>
    </x:xf>
    <x:xf numFmtId="0" fontId="5" fillId="4" borderId="0" xfId="0" applyNumberFormat="0" applyFont="1" applyFill="1" applyBorder="0" applyAlignment="0">
      <x:alignment horizontal="general" vertical="bottom" wrapText="0" shrinkToFit="0"/>
    </x:xf>
    <x:xf numFmtId="165" fontId="5" fillId="4" borderId="0" xfId="0" applyNumberFormat="1" applyFont="1" applyFill="1" applyBorder="0" applyAlignment="1">
      <x:alignment horizontal="right" vertical="bottom" wrapText="0" shrinkToFit="0"/>
    </x:xf>
    <x:xf numFmtId="0" fontId="6" fillId="0" borderId="0" xfId="0" applyNumberFormat="0" applyFont="1" applyFill="0" applyBorder="0" applyAlignment="0">
      <x:alignment horizontal="general" vertical="bottom" wrapText="0" shrinkToFit="0"/>
    </x:xf>
    <x:xf numFmtId="0" fontId="7" fillId="0" borderId="0" xfId="0" applyNumberFormat="0" applyFont="1" applyFill="0" applyBorder="0" applyAlignment="0">
      <x:alignment horizontal="general" vertical="bottom" wrapText="0" shrinkToFit="0"/>
    </x:xf>
    <x:xf numFmtId="0" fontId="0" fillId="0" borderId="0" xfId="0" applyNumberFormat="0" applyFont="0" applyFill="0" applyBorder="0" applyAlignment="1">
      <x:alignment horizontal="general" vertical="bottom" wrapText="1" shrinkToFi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7576c7edb415f" /><Relationship Type="http://schemas.openxmlformats.org/officeDocument/2006/relationships/theme" Target="/xl/theme/theme1.xml" Id="Rb70f6a11e98141d5" /><Relationship Type="http://schemas.openxmlformats.org/officeDocument/2006/relationships/sharedStrings" Target="/xl/sharedStrings.xml" Id="Rd7f7c8cf80c34311" /><Relationship Type="http://schemas.openxmlformats.org/officeDocument/2006/relationships/worksheet" Target="/xl/worksheets/sheet1.xml" Id="R100dc5eddeef4a8d" /><Relationship Type="http://schemas.openxmlformats.org/officeDocument/2006/relationships/worksheet" Target="/xl/worksheets/sheet2.xml" Id="Rac0dba0526324ea8" /><Relationship Type="http://schemas.openxmlformats.org/officeDocument/2006/relationships/worksheet" Target="/xl/worksheets/sheet3.xml" Id="Rc6fc4e5a9e024a6d" /><Relationship Type="http://schemas.openxmlformats.org/officeDocument/2006/relationships/worksheet" Target="/xl/worksheets/sheet4.xml" Id="R249b16863dc34393" /><Relationship Type="http://schemas.openxmlformats.org/officeDocument/2006/relationships/worksheet" Target="/xl/worksheets/sheet5.xml" Id="R0d0d64c9296a4f5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9" defaultRowHeight="14.399999618530273"/>
  <x:cols>
    <x:col min="1" max="1" width="46" customWidth="1"/>
    <x:col min="2" max="2" width="21" customWidth="1"/>
    <x:col min="3" max="3" width="21" customWidth="1"/>
    <x:col min="4" max="4" width="27" customWidth="1"/>
    <x:col min="5" max="5" width="23" customWidth="1"/>
  </x:cols>
  <x:sheetData>
    <x:row r="2">
      <x:c r="A2" s="1" t="s">
        <x:v>0</x:v>
      </x:c>
    </x:row>
    <x:row r="3">
      <x:c r="A3" t="s">
        <x:v>1</x:v>
      </x:c>
    </x:row>
    <x:row r="5" ht="34" customHeight="1">
      <x:c r="A5" s="2" t="s">
        <x:v>2</x:v>
      </x:c>
      <x:c r="B5" s="2" t="s">
        <x:v>3</x:v>
      </x:c>
      <x:c r="C5" s="2" t="s">
        <x:v>4</x:v>
      </x:c>
      <x:c r="D5" s="2" t="s">
        <x:v>5</x:v>
      </x:c>
      <x:c r="E5" s="2" t="s">
        <x:v>6</x:v>
      </x:c>
    </x:row>
    <x:row r="6">
      <x:c r="A6" t="s">
        <x:v>7</x:v>
      </x:c>
      <x:c r="B6" s="5" t="n">
        <x:f>SUM('Diario'!B2:B17)</x:f>
        <x:v>0</x:v>
      </x:c>
      <x:c r="C6" s="5" t="n">
        <x:f>SUM('Diario'!C2:C17)</x:f>
        <x:v>28732.75</x:v>
      </x:c>
      <x:c r="D6" s="5" t="n">
        <x:f>SUM('Diario'!D2:D17)</x:f>
        <x:v>0</x:v>
      </x:c>
      <x:c r="E6" s="5" t="n">
        <x:f>SUM('Diario'!E2:E17)</x:f>
        <x:v>28732.75</x:v>
      </x:c>
    </x:row>
    <x:row r="7">
      <x:c r="A7" t="s">
        <x:v>8</x:v>
      </x:c>
      <x:c r="B7" s="5" t="n">
        <x:f>SUM('Diario'!F2:F17)</x:f>
        <x:v>0</x:v>
      </x:c>
      <x:c r="C7" s="5" t="n">
        <x:f>SUM('Diario'!G2:G17)</x:f>
        <x:v>21240.6</x:v>
      </x:c>
      <x:c r="D7" s="5" t="n">
        <x:f>SUM('Diario'!H2:H17)</x:f>
        <x:v>0</x:v>
      </x:c>
      <x:c r="E7" s="5" t="n">
        <x:f>SUM('Diario'!I2:I17)</x:f>
        <x:v>21240.6</x:v>
      </x:c>
    </x:row>
    <x:row r="8">
      <x:c r="A8" s="9" t="s">
        <x:v>9</x:v>
      </x:c>
      <x:c r="B8" s="10" t="n">
        <x:f>SUM('Diario'!J2:J17)</x:f>
        <x:v>0</x:v>
      </x:c>
      <x:c r="C8" s="10" t="n">
        <x:f>SUM('Diario'!K2:K17)</x:f>
        <x:v>7492.150000000002</x:v>
      </x:c>
      <x:c r="D8" s="10" t="n">
        <x:f>D6-D7</x:f>
        <x:v>0</x:v>
      </x:c>
      <x:c r="E8" s="10" t="n">
        <x:f>SUM('Diario'!L2:L17)</x:f>
        <x:v>7492.150000000002</x:v>
      </x:c>
    </x:row>
    <x:row r="9">
      <x:c r="A9" t="s">
        <x:v>10</x:v>
      </x:c>
      <x:c r="B9" s="6" t="str">
        <x:f>IF(B6=0,"n.a.",B8/B6)</x:f>
        <x:v>n.a.</x:v>
      </x:c>
      <x:c r="C9" s="6" t="n">
        <x:f>IF(C6=0,"n.a.",C8/C6)</x:f>
        <x:v>0.26075297352324445</x:v>
      </x:c>
      <x:c r="D9" s="6" t="str">
        <x:f>IF(D6=0,"n.a.",D8/D6)</x:f>
        <x:v>n.a.</x:v>
      </x:c>
      <x:c r="E9" s="6" t="n">
        <x:f>IF(E6=0,"n.a.",E8/E6)</x:f>
        <x:v>0.26075297352324445</x:v>
      </x:c>
    </x:row>
    <x:row r="12" ht="34" customHeight="1">
      <x:c r="A12" s="2" t="s">
        <x:v>11</x:v>
      </x:c>
      <x:c r="B12" s="2" t="s">
        <x:v>12</x:v>
      </x:c>
    </x:row>
    <x:row r="13">
      <x:c r="A13" t="s">
        <x:v>13</x:v>
      </x:c>
      <x:c r="B13" s="5" t="n">
        <x:f>SUM('Diario'!L2:L17)</x:f>
        <x:v>7492.150000000002</x:v>
      </x:c>
    </x:row>
    <x:row r="14">
      <x:c r="A14" t="s">
        <x:v>14</x:v>
      </x:c>
      <x:c r="B14" s="5" t="n">
        <x:f>SUM('Diario'!M2:M17)</x:f>
        <x:v>20</x:v>
      </x:c>
    </x:row>
    <x:row r="15">
      <x:c r="A15" t="s">
        <x:v>15</x:v>
      </x:c>
      <x:c r="B15" s="5" t="n">
        <x:f>SUM('Diario'!N2:N17)</x:f>
        <x:v>800</x:v>
      </x:c>
    </x:row>
    <x:row r="16">
      <x:c r="A16" s="9" t="s">
        <x:v>16</x:v>
      </x:c>
      <x:c r="B16" s="10" t="n">
        <x:f>SUM('Diario'!O2:O17)</x:f>
        <x:v>6672.150000000002</x:v>
      </x:c>
    </x:row>
    <x:row r="19" ht="34" customHeight="1">
      <x:c r="A19" s="2" t="s">
        <x:v>17</x:v>
      </x:c>
      <x:c r="B19" s="2" t="s">
        <x:v>12</x:v>
      </x:c>
      <x:c r="D19" s="2" t="s">
        <x:v>18</x:v>
      </x:c>
      <x:c r="E19" s="2" t="s">
        <x:v>12</x:v>
      </x:c>
    </x:row>
    <x:row r="20">
      <x:c r="A20" t="s">
        <x:v>19</x:v>
      </x:c>
      <x:c r="B20" s="5" t="n">
        <x:f>SUM('Diario'!P2:P17)</x:f>
        <x:v>5900</x:v>
      </x:c>
      <x:c r="D20" t="s">
        <x:v>20</x:v>
      </x:c>
      <x:c r="E20" s="5" t="n">
        <x:f>SUM('Diario'!T2:T17)</x:f>
        <x:v>0</x:v>
      </x:c>
    </x:row>
    <x:row r="21">
      <x:c r="A21" t="s">
        <x:v>14</x:v>
      </x:c>
      <x:c r="B21" s="5" t="n">
        <x:f>SUM('Diario'!M2:M17)</x:f>
        <x:v>20</x:v>
      </x:c>
      <x:c r="D21" t="s">
        <x:v>21</x:v>
      </x:c>
      <x:c r="E21" s="5" t="n">
        <x:f>SUM('Diario'!S2:S17)</x:f>
        <x:v>0</x:v>
      </x:c>
    </x:row>
    <x:row r="22">
      <x:c r="A22" t="s">
        <x:v>15</x:v>
      </x:c>
      <x:c r="B22" s="5" t="n">
        <x:f>SUM('Diario'!N2:N17)</x:f>
        <x:v>800</x:v>
      </x:c>
      <x:c r="D22" t="s">
        <x:v>22</x:v>
      </x:c>
      <x:c r="E22" s="5" t="n">
        <x:f>SUM('Diario'!W2:W17)</x:f>
        <x:v>20</x:v>
      </x:c>
    </x:row>
    <x:row r="23">
      <x:c r="A23" t="s">
        <x:v>23</x:v>
      </x:c>
      <x:c r="B23" s="5" t="n">
        <x:f>SUM('Diario'!Q2:Q17)</x:f>
        <x:v>0</x:v>
      </x:c>
    </x:row>
    <x:row r="24">
      <x:c r="A24" t="s">
        <x:v>24</x:v>
      </x:c>
      <x:c r="B24" s="5" t="n">
        <x:f>SUM('Diario'!R2:R17)</x:f>
        <x:v>0</x:v>
      </x:c>
      <x:c r="D24" t="s">
        <x:v>25</x:v>
      </x:c>
    </x:row>
    <x:row r="25">
      <x:c r="A25" s="9" t="s">
        <x:v>26</x:v>
      </x:c>
      <x:c r="B25" s="10" t="n">
        <x:f>SUM('Diario'!V2:V17)</x:f>
        <x:v>6720</x:v>
      </x:c>
      <x:c r="D25" t="s">
        <x:v>27</x:v>
      </x:c>
    </x:row>
    <x:row r="28" ht="34" customHeight="1">
      <x:c r="A28" s="2" t="s">
        <x:v>28</x:v>
      </x:c>
      <x:c r="B28" s="2" t="s">
        <x:v>29</x:v>
      </x:c>
    </x:row>
    <x:row r="29">
      <x:c r="A29" t="s">
        <x:v>30</x:v>
      </x:c>
      <x:c r="B29" s="7">
        <x:v>16</x:v>
      </x:c>
      <x:c r="D29" t="s">
        <x:v>31</x:v>
      </x:c>
    </x:row>
    <x:row r="30">
      <x:c r="A30" t="s">
        <x:v>32</x:v>
      </x:c>
      <x:c r="B30" s="5" t="n">
        <x:f>B16/B29</x:f>
        <x:v>417.00937500000015</x:v>
      </x:c>
      <x:c r="D30" t="s">
        <x:v>33</x:v>
      </x:c>
    </x:row>
    <x:row r="31">
      <x:c r="A31" t="s">
        <x:v>34</x:v>
      </x:c>
      <x:c r="B31" s="8">
        <x:v>30</x:v>
      </x:c>
      <x:c r="D31" t="s">
        <x:v>35</x:v>
      </x:c>
    </x:row>
    <x:row r="32">
      <x:c r="A32" s="9" t="s">
        <x:v>36</x:v>
      </x:c>
      <x:c r="B32" s="10" t="n">
        <x:f>B30*B31</x:f>
        <x:v>12510.281250000004</x:v>
      </x:c>
    </x:row>
    <x:row r="35">
      <x:c r="A35" s="11" t="s">
        <x:v>37</x:v>
      </x:c>
    </x:row>
    <x:row r="36">
      <x:c r="A36" s="11" t="s">
        <x:v>38</x:v>
      </x:c>
    </x:row>
  </x:sheetData>
  <x:dataValidations count="1">
    <x:dataValidation type="whole" errorStyle="stop" operator="between" allowBlank="0" showDropDown="1" showInputMessage="0" showErrorMessage="1" errorTitle="Días de proyección" error="Ingresa de 1 a 366 días." sqref="B31">
      <x:formula1>1</x:formula1>
      <x:formula2>366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19" defaultRowHeight="14.399999618530273"/>
  <x:cols>
    <x:col min="1" max="1" width="15" customWidth="1"/>
  </x:cols>
  <x:sheetData>
    <x:row r="1" ht="34" customHeight="1">
      <x:c r="A1" s="2" t="s">
        <x:v>39</x:v>
      </x:c>
      <x:c r="B1" s="2" t="s">
        <x:v>40</x:v>
      </x:c>
      <x:c r="C1" s="2" t="s">
        <x:v>41</x:v>
      </x:c>
      <x:c r="D1" s="2" t="s">
        <x:v>42</x:v>
      </x:c>
      <x:c r="E1" s="2" t="s">
        <x:v>43</x:v>
      </x:c>
      <x:c r="F1" s="2" t="s">
        <x:v>44</x:v>
      </x:c>
      <x:c r="G1" s="2" t="s">
        <x:v>45</x:v>
      </x:c>
      <x:c r="H1" s="2" t="s">
        <x:v>46</x:v>
      </x:c>
      <x:c r="I1" s="2" t="s">
        <x:v>47</x:v>
      </x:c>
      <x:c r="J1" s="2" t="s">
        <x:v>48</x:v>
      </x:c>
      <x:c r="K1" s="2" t="s">
        <x:v>49</x:v>
      </x:c>
      <x:c r="L1" s="2" t="s">
        <x:v>50</x:v>
      </x:c>
      <x:c r="M1" s="2" t="s">
        <x:v>14</x:v>
      </x:c>
      <x:c r="N1" s="2" t="s">
        <x:v>15</x:v>
      </x:c>
      <x:c r="O1" s="2" t="s">
        <x:v>51</x:v>
      </x:c>
      <x:c r="P1" s="2" t="s">
        <x:v>19</x:v>
      </x:c>
      <x:c r="Q1" s="2" t="s">
        <x:v>23</x:v>
      </x:c>
      <x:c r="R1" s="2" t="s">
        <x:v>24</x:v>
      </x:c>
      <x:c r="S1" s="2" t="s">
        <x:v>21</x:v>
      </x:c>
      <x:c r="T1" s="2" t="s">
        <x:v>20</x:v>
      </x:c>
      <x:c r="U1" s="2" t="s">
        <x:v>52</x:v>
      </x:c>
      <x:c r="V1" s="2" t="s">
        <x:v>53</x:v>
      </x:c>
      <x:c r="W1" s="2" t="s">
        <x:v>54</x:v>
      </x:c>
      <x:c r="X1" s="2" t="s">
        <x:v>55</x:v>
      </x:c>
    </x:row>
    <x:row r="2">
      <x:c r="A2" s="3">
        <x:v>46296</x:v>
      </x:c>
      <x:c r="B2" s="4">
        <x:v>0</x:v>
      </x:c>
      <x:c r="C2" s="4">
        <x:v>0</x:v>
      </x:c>
      <x:c r="D2" s="4">
        <x:v>0</x:v>
      </x:c>
      <x:c r="E2" s="4" t="n">
        <x:f>SUM(B2:D2)</x:f>
        <x:v>0</x:v>
      </x:c>
      <x:c r="F2" s="4">
        <x:v>0</x:v>
      </x:c>
      <x:c r="G2" s="4">
        <x:v>0</x:v>
      </x:c>
      <x:c r="H2" s="4">
        <x:v>0</x:v>
      </x:c>
      <x:c r="I2" s="4" t="n">
        <x:f>SUM(F2:H2)</x:f>
        <x:v>0</x:v>
      </x:c>
      <x:c r="J2" s="4" t="n">
        <x:f>B2-F2</x:f>
        <x:v>0</x:v>
      </x:c>
      <x:c r="K2" s="4" t="n">
        <x:f>C2-G2</x:f>
        <x:v>0</x:v>
      </x:c>
      <x:c r="L2" s="4" t="n">
        <x:f>E2-I2</x:f>
        <x:v>0</x:v>
      </x:c>
      <x:c r="M2" s="4">
        <x:v>0</x:v>
      </x:c>
      <x:c r="N2" s="4">
        <x:v>0</x:v>
      </x:c>
      <x:c r="O2" s="4" t="n">
        <x:f>L2-M2-N2</x:f>
        <x:v>0</x:v>
      </x:c>
      <x:c r="P2" s="4">
        <x:v>0</x:v>
      </x:c>
      <x:c r="Q2" s="4">
        <x:v>0</x:v>
      </x:c>
      <x:c r="R2" s="4">
        <x:v>0</x:v>
      </x:c>
      <x:c r="S2" s="4">
        <x:v>0</x:v>
      </x:c>
      <x:c r="T2" s="4">
        <x:v>0</x:v>
      </x:c>
      <x:c r="U2" s="4" t="n">
        <x:f>SUM(M2:N2,P2:S2)</x:f>
        <x:v>0</x:v>
      </x:c>
      <x:c r="V2" s="4" t="n">
        <x:f>U2-S2</x:f>
        <x:v>0</x:v>
      </x:c>
      <x:c r="W2" s="4">
        <x:v>0</x:v>
      </x:c>
      <x:c r="X2" s="4" t="n">
        <x:f>O2</x:f>
        <x:v>0</x:v>
      </x:c>
    </x:row>
    <x:row r="3">
      <x:c r="A3" s="3">
        <x:v>46297</x:v>
      </x:c>
      <x:c r="B3" s="4">
        <x:v>0</x:v>
      </x:c>
      <x:c r="C3" s="4">
        <x:v>0</x:v>
      </x:c>
      <x:c r="D3" s="4">
        <x:v>0</x:v>
      </x:c>
      <x:c r="E3" s="4" t="n">
        <x:f>SUM(B3:D3)</x:f>
        <x:v>0</x:v>
      </x:c>
      <x:c r="F3" s="4">
        <x:v>0</x:v>
      </x:c>
      <x:c r="G3" s="4">
        <x:v>0</x:v>
      </x:c>
      <x:c r="H3" s="4">
        <x:v>0</x:v>
      </x:c>
      <x:c r="I3" s="4" t="n">
        <x:f>SUM(F3:H3)</x:f>
        <x:v>0</x:v>
      </x:c>
      <x:c r="J3" s="4" t="n">
        <x:f>B3-F3</x:f>
        <x:v>0</x:v>
      </x:c>
      <x:c r="K3" s="4" t="n">
        <x:f>C3-G3</x:f>
        <x:v>0</x:v>
      </x:c>
      <x:c r="L3" s="4" t="n">
        <x:f>E3-I3</x:f>
        <x:v>0</x:v>
      </x:c>
      <x:c r="M3" s="4">
        <x:v>0</x:v>
      </x:c>
      <x:c r="N3" s="4">
        <x:v>0</x:v>
      </x:c>
      <x:c r="O3" s="4" t="n">
        <x:f>L3-M3-N3</x:f>
        <x:v>0</x:v>
      </x:c>
      <x:c r="P3" s="4">
        <x:v>0</x:v>
      </x:c>
      <x:c r="Q3" s="4">
        <x:v>0</x:v>
      </x:c>
      <x:c r="R3" s="4">
        <x:v>0</x:v>
      </x:c>
      <x:c r="S3" s="4">
        <x:v>0</x:v>
      </x:c>
      <x:c r="T3" s="4">
        <x:v>0</x:v>
      </x:c>
      <x:c r="U3" s="4" t="n">
        <x:f>SUM(M3:N3,P3:S3)</x:f>
        <x:v>0</x:v>
      </x:c>
      <x:c r="V3" s="4" t="n">
        <x:f>U3-S3</x:f>
        <x:v>0</x:v>
      </x:c>
      <x:c r="W3" s="4">
        <x:v>0</x:v>
      </x:c>
      <x:c r="X3" s="4" t="n">
        <x:f>X2+O3</x:f>
        <x:v>0</x:v>
      </x:c>
    </x:row>
    <x:row r="4">
      <x:c r="A4" s="3">
        <x:v>46298</x:v>
      </x:c>
      <x:c r="B4" s="4">
        <x:v>0</x:v>
      </x:c>
      <x:c r="C4" s="4">
        <x:v>0</x:v>
      </x:c>
      <x:c r="D4" s="4">
        <x:v>0</x:v>
      </x:c>
      <x:c r="E4" s="4" t="n">
        <x:f>SUM(B4:D4)</x:f>
        <x:v>0</x:v>
      </x:c>
      <x:c r="F4" s="4">
        <x:v>0</x:v>
      </x:c>
      <x:c r="G4" s="4">
        <x:v>0</x:v>
      </x:c>
      <x:c r="H4" s="4">
        <x:v>0</x:v>
      </x:c>
      <x:c r="I4" s="4" t="n">
        <x:f>SUM(F4:H4)</x:f>
        <x:v>0</x:v>
      </x:c>
      <x:c r="J4" s="4" t="n">
        <x:f>B4-F4</x:f>
        <x:v>0</x:v>
      </x:c>
      <x:c r="K4" s="4" t="n">
        <x:f>C4-G4</x:f>
        <x:v>0</x:v>
      </x:c>
      <x:c r="L4" s="4" t="n">
        <x:f>E4-I4</x:f>
        <x:v>0</x:v>
      </x:c>
      <x:c r="M4" s="4">
        <x:v>0</x:v>
      </x:c>
      <x:c r="N4" s="4">
        <x:v>0</x:v>
      </x:c>
      <x:c r="O4" s="4" t="n">
        <x:f>L4-M4-N4</x:f>
        <x:v>0</x:v>
      </x:c>
      <x:c r="P4" s="4">
        <x:v>0</x:v>
      </x:c>
      <x:c r="Q4" s="4">
        <x:v>0</x:v>
      </x:c>
      <x:c r="R4" s="4">
        <x:v>0</x:v>
      </x:c>
      <x:c r="S4" s="4">
        <x:v>0</x:v>
      </x:c>
      <x:c r="T4" s="4">
        <x:v>0</x:v>
      </x:c>
      <x:c r="U4" s="4" t="n">
        <x:f>SUM(M4:N4,P4:S4)</x:f>
        <x:v>0</x:v>
      </x:c>
      <x:c r="V4" s="4" t="n">
        <x:f>U4-S4</x:f>
        <x:v>0</x:v>
      </x:c>
      <x:c r="W4" s="4">
        <x:v>0</x:v>
      </x:c>
      <x:c r="X4" s="4" t="n">
        <x:f>X3+O4</x:f>
        <x:v>0</x:v>
      </x:c>
    </x:row>
    <x:row r="5">
      <x:c r="A5" s="3">
        <x:v>46299</x:v>
      </x:c>
      <x:c r="B5" s="4">
        <x:v>0</x:v>
      </x:c>
      <x:c r="C5" s="4">
        <x:v>0</x:v>
      </x:c>
      <x:c r="D5" s="4">
        <x:v>0</x:v>
      </x:c>
      <x:c r="E5" s="4" t="n">
        <x:f>SUM(B5:D5)</x:f>
        <x:v>0</x:v>
      </x:c>
      <x:c r="F5" s="4">
        <x:v>0</x:v>
      </x:c>
      <x:c r="G5" s="4">
        <x:v>0</x:v>
      </x:c>
      <x:c r="H5" s="4">
        <x:v>0</x:v>
      </x:c>
      <x:c r="I5" s="4" t="n">
        <x:f>SUM(F5:H5)</x:f>
        <x:v>0</x:v>
      </x:c>
      <x:c r="J5" s="4" t="n">
        <x:f>B5-F5</x:f>
        <x:v>0</x:v>
      </x:c>
      <x:c r="K5" s="4" t="n">
        <x:f>C5-G5</x:f>
        <x:v>0</x:v>
      </x:c>
      <x:c r="L5" s="4" t="n">
        <x:f>E5-I5</x:f>
        <x:v>0</x:v>
      </x:c>
      <x:c r="M5" s="4">
        <x:v>0</x:v>
      </x:c>
      <x:c r="N5" s="4">
        <x:v>0</x:v>
      </x:c>
      <x:c r="O5" s="4" t="n">
        <x:f>L5-M5-N5</x:f>
        <x:v>0</x:v>
      </x:c>
      <x:c r="P5" s="4">
        <x:v>0</x:v>
      </x:c>
      <x:c r="Q5" s="4">
        <x:v>0</x:v>
      </x:c>
      <x:c r="R5" s="4">
        <x:v>0</x:v>
      </x:c>
      <x:c r="S5" s="4">
        <x:v>0</x:v>
      </x:c>
      <x:c r="T5" s="4">
        <x:v>0</x:v>
      </x:c>
      <x:c r="U5" s="4" t="n">
        <x:f>SUM(M5:N5,P5:S5)</x:f>
        <x:v>0</x:v>
      </x:c>
      <x:c r="V5" s="4" t="n">
        <x:f>U5-S5</x:f>
        <x:v>0</x:v>
      </x:c>
      <x:c r="W5" s="4">
        <x:v>0</x:v>
      </x:c>
      <x:c r="X5" s="4" t="n">
        <x:f>X4+O5</x:f>
        <x:v>0</x:v>
      </x:c>
    </x:row>
    <x:row r="6">
      <x:c r="A6" s="3">
        <x:v>46300</x:v>
      </x:c>
      <x:c r="B6" s="4">
        <x:v>0</x:v>
      </x:c>
      <x:c r="C6" s="4">
        <x:v>0</x:v>
      </x:c>
      <x:c r="D6" s="4">
        <x:v>0</x:v>
      </x:c>
      <x:c r="E6" s="4" t="n">
        <x:f>SUM(B6:D6)</x:f>
        <x:v>0</x:v>
      </x:c>
      <x:c r="F6" s="4">
        <x:v>0</x:v>
      </x:c>
      <x:c r="G6" s="4">
        <x:v>0</x:v>
      </x:c>
      <x:c r="H6" s="4">
        <x:v>0</x:v>
      </x:c>
      <x:c r="I6" s="4" t="n">
        <x:f>SUM(F6:H6)</x:f>
        <x:v>0</x:v>
      </x:c>
      <x:c r="J6" s="4" t="n">
        <x:f>B6-F6</x:f>
        <x:v>0</x:v>
      </x:c>
      <x:c r="K6" s="4" t="n">
        <x:f>C6-G6</x:f>
        <x:v>0</x:v>
      </x:c>
      <x:c r="L6" s="4" t="n">
        <x:f>E6-I6</x:f>
        <x:v>0</x:v>
      </x:c>
      <x:c r="M6" s="4">
        <x:v>0</x:v>
      </x:c>
      <x:c r="N6" s="4">
        <x:v>0</x:v>
      </x:c>
      <x:c r="O6" s="4" t="n">
        <x:f>L6-M6-N6</x:f>
        <x:v>0</x:v>
      </x:c>
      <x:c r="P6" s="4">
        <x:v>0</x:v>
      </x:c>
      <x:c r="Q6" s="4">
        <x:v>0</x:v>
      </x:c>
      <x:c r="R6" s="4">
        <x:v>0</x:v>
      </x:c>
      <x:c r="S6" s="4">
        <x:v>0</x:v>
      </x:c>
      <x:c r="T6" s="4">
        <x:v>0</x:v>
      </x:c>
      <x:c r="U6" s="4" t="n">
        <x:f>SUM(M6:N6,P6:S6)</x:f>
        <x:v>0</x:v>
      </x:c>
      <x:c r="V6" s="4" t="n">
        <x:f>U6-S6</x:f>
        <x:v>0</x:v>
      </x:c>
      <x:c r="W6" s="4">
        <x:v>0</x:v>
      </x:c>
      <x:c r="X6" s="4" t="n">
        <x:f>X5+O6</x:f>
        <x:v>0</x:v>
      </x:c>
    </x:row>
    <x:row r="7">
      <x:c r="A7" s="3">
        <x:v>46301</x:v>
      </x:c>
      <x:c r="B7" s="4">
        <x:v>0</x:v>
      </x:c>
      <x:c r="C7" s="4">
        <x:v>0</x:v>
      </x:c>
      <x:c r="D7" s="4">
        <x:v>0</x:v>
      </x:c>
      <x:c r="E7" s="4" t="n">
        <x:f>SUM(B7:D7)</x:f>
        <x:v>0</x:v>
      </x:c>
      <x:c r="F7" s="4">
        <x:v>0</x:v>
      </x:c>
      <x:c r="G7" s="4">
        <x:v>0</x:v>
      </x:c>
      <x:c r="H7" s="4">
        <x:v>0</x:v>
      </x:c>
      <x:c r="I7" s="4" t="n">
        <x:f>SUM(F7:H7)</x:f>
        <x:v>0</x:v>
      </x:c>
      <x:c r="J7" s="4" t="n">
        <x:f>B7-F7</x:f>
        <x:v>0</x:v>
      </x:c>
      <x:c r="K7" s="4" t="n">
        <x:f>C7-G7</x:f>
        <x:v>0</x:v>
      </x:c>
      <x:c r="L7" s="4" t="n">
        <x:f>E7-I7</x:f>
        <x:v>0</x:v>
      </x:c>
      <x:c r="M7" s="4">
        <x:v>0</x:v>
      </x:c>
      <x:c r="N7" s="4">
        <x:v>0</x:v>
      </x:c>
      <x:c r="O7" s="4" t="n">
        <x:f>L7-M7-N7</x:f>
        <x:v>0</x:v>
      </x:c>
      <x:c r="P7" s="4">
        <x:v>0</x:v>
      </x:c>
      <x:c r="Q7" s="4">
        <x:v>0</x:v>
      </x:c>
      <x:c r="R7" s="4">
        <x:v>0</x:v>
      </x:c>
      <x:c r="S7" s="4">
        <x:v>0</x:v>
      </x:c>
      <x:c r="T7" s="4">
        <x:v>0</x:v>
      </x:c>
      <x:c r="U7" s="4" t="n">
        <x:f>SUM(M7:N7,P7:S7)</x:f>
        <x:v>0</x:v>
      </x:c>
      <x:c r="V7" s="4" t="n">
        <x:f>U7-S7</x:f>
        <x:v>0</x:v>
      </x:c>
      <x:c r="W7" s="4">
        <x:v>0</x:v>
      </x:c>
      <x:c r="X7" s="4" t="n">
        <x:f>X6+O7</x:f>
        <x:v>0</x:v>
      </x:c>
    </x:row>
    <x:row r="8">
      <x:c r="A8" s="3">
        <x:v>46302</x:v>
      </x:c>
      <x:c r="B8" s="4">
        <x:v>0</x:v>
      </x:c>
      <x:c r="C8" s="4">
        <x:v>0</x:v>
      </x:c>
      <x:c r="D8" s="4">
        <x:v>0</x:v>
      </x:c>
      <x:c r="E8" s="4" t="n">
        <x:f>SUM(B8:D8)</x:f>
        <x:v>0</x:v>
      </x:c>
      <x:c r="F8" s="4">
        <x:v>0</x:v>
      </x:c>
      <x:c r="G8" s="4">
        <x:v>0</x:v>
      </x:c>
      <x:c r="H8" s="4">
        <x:v>0</x:v>
      </x:c>
      <x:c r="I8" s="4" t="n">
        <x:f>SUM(F8:H8)</x:f>
        <x:v>0</x:v>
      </x:c>
      <x:c r="J8" s="4" t="n">
        <x:f>B8-F8</x:f>
        <x:v>0</x:v>
      </x:c>
      <x:c r="K8" s="4" t="n">
        <x:f>C8-G8</x:f>
        <x:v>0</x:v>
      </x:c>
      <x:c r="L8" s="4" t="n">
        <x:f>E8-I8</x:f>
        <x:v>0</x:v>
      </x:c>
      <x:c r="M8" s="4">
        <x:v>0</x:v>
      </x:c>
      <x:c r="N8" s="4">
        <x:v>0</x:v>
      </x:c>
      <x:c r="O8" s="4" t="n">
        <x:f>L8-M8-N8</x:f>
        <x:v>0</x:v>
      </x:c>
      <x:c r="P8" s="4">
        <x:v>0</x:v>
      </x:c>
      <x:c r="Q8" s="4">
        <x:v>0</x:v>
      </x:c>
      <x:c r="R8" s="4">
        <x:v>0</x:v>
      </x:c>
      <x:c r="S8" s="4">
        <x:v>0</x:v>
      </x:c>
      <x:c r="T8" s="4">
        <x:v>0</x:v>
      </x:c>
      <x:c r="U8" s="4" t="n">
        <x:f>SUM(M8:N8,P8:S8)</x:f>
        <x:v>0</x:v>
      </x:c>
      <x:c r="V8" s="4" t="n">
        <x:f>U8-S8</x:f>
        <x:v>0</x:v>
      </x:c>
      <x:c r="W8" s="4">
        <x:v>0</x:v>
      </x:c>
      <x:c r="X8" s="4" t="n">
        <x:f>X7+O8</x:f>
        <x:v>0</x:v>
      </x:c>
    </x:row>
    <x:row r="9">
      <x:c r="A9" s="3">
        <x:v>46303</x:v>
      </x:c>
      <x:c r="B9" s="4">
        <x:v>0</x:v>
      </x:c>
      <x:c r="C9" s="4">
        <x:v>0</x:v>
      </x:c>
      <x:c r="D9" s="4">
        <x:v>0</x:v>
      </x:c>
      <x:c r="E9" s="4" t="n">
        <x:f>SUM(B9:D9)</x:f>
        <x:v>0</x:v>
      </x:c>
      <x:c r="F9" s="4">
        <x:v>0</x:v>
      </x:c>
      <x:c r="G9" s="4">
        <x:v>0</x:v>
      </x:c>
      <x:c r="H9" s="4">
        <x:v>0</x:v>
      </x:c>
      <x:c r="I9" s="4" t="n">
        <x:f>SUM(F9:H9)</x:f>
        <x:v>0</x:v>
      </x:c>
      <x:c r="J9" s="4" t="n">
        <x:f>B9-F9</x:f>
        <x:v>0</x:v>
      </x:c>
      <x:c r="K9" s="4" t="n">
        <x:f>C9-G9</x:f>
        <x:v>0</x:v>
      </x:c>
      <x:c r="L9" s="4" t="n">
        <x:f>E9-I9</x:f>
        <x:v>0</x:v>
      </x:c>
      <x:c r="M9" s="4">
        <x:v>0</x:v>
      </x:c>
      <x:c r="N9" s="4">
        <x:v>0</x:v>
      </x:c>
      <x:c r="O9" s="4" t="n">
        <x:f>L9-M9-N9</x:f>
        <x:v>0</x:v>
      </x:c>
      <x:c r="P9" s="4">
        <x:v>0</x:v>
      </x:c>
      <x:c r="Q9" s="4">
        <x:v>0</x:v>
      </x:c>
      <x:c r="R9" s="4">
        <x:v>0</x:v>
      </x:c>
      <x:c r="S9" s="4">
        <x:v>0</x:v>
      </x:c>
      <x:c r="T9" s="4">
        <x:v>0</x:v>
      </x:c>
      <x:c r="U9" s="4" t="n">
        <x:f>SUM(M9:N9,P9:S9)</x:f>
        <x:v>0</x:v>
      </x:c>
      <x:c r="V9" s="4" t="n">
        <x:f>U9-S9</x:f>
        <x:v>0</x:v>
      </x:c>
      <x:c r="W9" s="4">
        <x:v>0</x:v>
      </x:c>
      <x:c r="X9" s="4" t="n">
        <x:f>X8+O9</x:f>
        <x:v>0</x:v>
      </x:c>
    </x:row>
    <x:row r="10">
      <x:c r="A10" s="3">
        <x:v>46304</x:v>
      </x:c>
      <x:c r="B10" s="4">
        <x:v>0</x:v>
      </x:c>
      <x:c r="C10" s="4">
        <x:v>293.3</x:v>
      </x:c>
      <x:c r="D10" s="4">
        <x:v>0</x:v>
      </x:c>
      <x:c r="E10" s="4" t="n">
        <x:f>SUM(B10:D10)</x:f>
        <x:v>293.3</x:v>
      </x:c>
      <x:c r="F10" s="4">
        <x:v>0</x:v>
      </x:c>
      <x:c r="G10" s="4">
        <x:v>127.65</x:v>
      </x:c>
      <x:c r="H10" s="4">
        <x:v>0</x:v>
      </x:c>
      <x:c r="I10" s="4" t="n">
        <x:f>SUM(F10:H10)</x:f>
        <x:v>127.65</x:v>
      </x:c>
      <x:c r="J10" s="4" t="n">
        <x:f>B10-F10</x:f>
        <x:v>0</x:v>
      </x:c>
      <x:c r="K10" s="4" t="n">
        <x:f>C10-G10</x:f>
        <x:v>165.65</x:v>
      </x:c>
      <x:c r="L10" s="4" t="n">
        <x:f>E10-I10</x:f>
        <x:v>165.65</x:v>
      </x:c>
      <x:c r="M10" s="4">
        <x:v>0</x:v>
      </x:c>
      <x:c r="N10" s="4">
        <x:v>0</x:v>
      </x:c>
      <x:c r="O10" s="4" t="n">
        <x:f>L10-M10-N10</x:f>
        <x:v>165.65</x:v>
      </x:c>
      <x:c r="P10" s="4">
        <x:v>0</x:v>
      </x:c>
      <x:c r="Q10" s="4">
        <x:v>0</x:v>
      </x:c>
      <x:c r="R10" s="4">
        <x:v>0</x:v>
      </x:c>
      <x:c r="S10" s="4">
        <x:v>0</x:v>
      </x:c>
      <x:c r="T10" s="4">
        <x:v>0</x:v>
      </x:c>
      <x:c r="U10" s="4" t="n">
        <x:f>SUM(M10:N10,P10:S10)</x:f>
        <x:v>0</x:v>
      </x:c>
      <x:c r="V10" s="4" t="n">
        <x:f>U10-S10</x:f>
        <x:v>0</x:v>
      </x:c>
      <x:c r="W10" s="4">
        <x:v>0</x:v>
      </x:c>
      <x:c r="X10" s="4" t="n">
        <x:f>X9+O10</x:f>
        <x:v>165.65</x:v>
      </x:c>
    </x:row>
    <x:row r="11">
      <x:c r="A11" s="3">
        <x:v>46305</x:v>
      </x:c>
      <x:c r="B11" s="4">
        <x:v>0</x:v>
      </x:c>
      <x:c r="C11" s="4">
        <x:v>2639.25</x:v>
      </x:c>
      <x:c r="D11" s="4">
        <x:v>0</x:v>
      </x:c>
      <x:c r="E11" s="4" t="n">
        <x:f>SUM(B11:D11)</x:f>
        <x:v>2639.25</x:v>
      </x:c>
      <x:c r="F11" s="4">
        <x:v>0</x:v>
      </x:c>
      <x:c r="G11" s="4">
        <x:v>1148.85</x:v>
      </x:c>
      <x:c r="H11" s="4">
        <x:v>0</x:v>
      </x:c>
      <x:c r="I11" s="4" t="n">
        <x:f>SUM(F11:H11)</x:f>
        <x:v>1148.85</x:v>
      </x:c>
      <x:c r="J11" s="4" t="n">
        <x:f>B11-F11</x:f>
        <x:v>0</x:v>
      </x:c>
      <x:c r="K11" s="4" t="n">
        <x:f>C11-G11</x:f>
        <x:v>1490.4</x:v>
      </x:c>
      <x:c r="L11" s="4" t="n">
        <x:f>E11-I11</x:f>
        <x:v>1490.4</x:v>
      </x:c>
      <x:c r="M11" s="4">
        <x:v>0</x:v>
      </x:c>
      <x:c r="N11" s="4">
        <x:v>0</x:v>
      </x:c>
      <x:c r="O11" s="4" t="n">
        <x:f>L11-M11-N11</x:f>
        <x:v>1490.4</x:v>
      </x:c>
      <x:c r="P11" s="4">
        <x:v>0</x:v>
      </x:c>
      <x:c r="Q11" s="4">
        <x:v>0</x:v>
      </x:c>
      <x:c r="R11" s="4">
        <x:v>0</x:v>
      </x:c>
      <x:c r="S11" s="4">
        <x:v>0</x:v>
      </x:c>
      <x:c r="T11" s="4">
        <x:v>0</x:v>
      </x:c>
      <x:c r="U11" s="4" t="n">
        <x:f>SUM(M11:N11,P11:S11)</x:f>
        <x:v>0</x:v>
      </x:c>
      <x:c r="V11" s="4" t="n">
        <x:f>U11-S11</x:f>
        <x:v>0</x:v>
      </x:c>
      <x:c r="W11" s="4">
        <x:v>0</x:v>
      </x:c>
      <x:c r="X11" s="4" t="n">
        <x:f>X10+O11</x:f>
        <x:v>1656.0500000000002</x:v>
      </x:c>
    </x:row>
    <x:row r="12">
      <x:c r="A12" s="3">
        <x:v>46306</x:v>
      </x:c>
      <x:c r="B12" s="4">
        <x:v>0</x:v>
      </x:c>
      <x:c r="C12" s="4">
        <x:v>0</x:v>
      </x:c>
      <x:c r="D12" s="4">
        <x:v>0</x:v>
      </x:c>
      <x:c r="E12" s="4" t="n">
        <x:f>SUM(B12:D12)</x:f>
        <x:v>0</x:v>
      </x:c>
      <x:c r="F12" s="4">
        <x:v>0</x:v>
      </x:c>
      <x:c r="G12" s="4">
        <x:v>0</x:v>
      </x:c>
      <x:c r="H12" s="4">
        <x:v>0</x:v>
      </x:c>
      <x:c r="I12" s="4" t="n">
        <x:f>SUM(F12:H12)</x:f>
        <x:v>0</x:v>
      </x:c>
      <x:c r="J12" s="4" t="n">
        <x:f>B12-F12</x:f>
        <x:v>0</x:v>
      </x:c>
      <x:c r="K12" s="4" t="n">
        <x:f>C12-G12</x:f>
        <x:v>0</x:v>
      </x:c>
      <x:c r="L12" s="4" t="n">
        <x:f>E12-I12</x:f>
        <x:v>0</x:v>
      </x:c>
      <x:c r="M12" s="4">
        <x:v>0</x:v>
      </x:c>
      <x:c r="N12" s="4">
        <x:v>0</x:v>
      </x:c>
      <x:c r="O12" s="4" t="n">
        <x:f>L12-M12-N12</x:f>
        <x:v>0</x:v>
      </x:c>
      <x:c r="P12" s="4">
        <x:v>0</x:v>
      </x:c>
      <x:c r="Q12" s="4">
        <x:v>0</x:v>
      </x:c>
      <x:c r="R12" s="4">
        <x:v>0</x:v>
      </x:c>
      <x:c r="S12" s="4">
        <x:v>0</x:v>
      </x:c>
      <x:c r="T12" s="4">
        <x:v>0</x:v>
      </x:c>
      <x:c r="U12" s="4" t="n">
        <x:f>SUM(M12:N12,P12:S12)</x:f>
        <x:v>0</x:v>
      </x:c>
      <x:c r="V12" s="4" t="n">
        <x:f>U12-S12</x:f>
        <x:v>0</x:v>
      </x:c>
      <x:c r="W12" s="4">
        <x:v>0</x:v>
      </x:c>
      <x:c r="X12" s="4" t="n">
        <x:f>X11+O12</x:f>
        <x:v>1656.0500000000002</x:v>
      </x:c>
    </x:row>
    <x:row r="13">
      <x:c r="A13" s="3">
        <x:v>46307</x:v>
      </x:c>
      <x:c r="B13" s="4">
        <x:v>0</x:v>
      </x:c>
      <x:c r="C13" s="4">
        <x:v>0</x:v>
      </x:c>
      <x:c r="D13" s="4">
        <x:v>0</x:v>
      </x:c>
      <x:c r="E13" s="4" t="n">
        <x:f>SUM(B13:D13)</x:f>
        <x:v>0</x:v>
      </x:c>
      <x:c r="F13" s="4">
        <x:v>0</x:v>
      </x:c>
      <x:c r="G13" s="4">
        <x:v>0</x:v>
      </x:c>
      <x:c r="H13" s="4">
        <x:v>0</x:v>
      </x:c>
      <x:c r="I13" s="4" t="n">
        <x:f>SUM(F13:H13)</x:f>
        <x:v>0</x:v>
      </x:c>
      <x:c r="J13" s="4" t="n">
        <x:f>B13-F13</x:f>
        <x:v>0</x:v>
      </x:c>
      <x:c r="K13" s="4" t="n">
        <x:f>C13-G13</x:f>
        <x:v>0</x:v>
      </x:c>
      <x:c r="L13" s="4" t="n">
        <x:f>E13-I13</x:f>
        <x:v>0</x:v>
      </x:c>
      <x:c r="M13" s="4">
        <x:v>0</x:v>
      </x:c>
      <x:c r="N13" s="4">
        <x:v>0</x:v>
      </x:c>
      <x:c r="O13" s="4" t="n">
        <x:f>L13-M13-N13</x:f>
        <x:v>0</x:v>
      </x:c>
      <x:c r="P13" s="4">
        <x:v>4000</x:v>
      </x:c>
      <x:c r="Q13" s="4">
        <x:v>0</x:v>
      </x:c>
      <x:c r="R13" s="4">
        <x:v>0</x:v>
      </x:c>
      <x:c r="S13" s="4">
        <x:v>0</x:v>
      </x:c>
      <x:c r="T13" s="4">
        <x:v>0</x:v>
      </x:c>
      <x:c r="U13" s="4" t="n">
        <x:f>SUM(M13:N13,P13:S13)</x:f>
        <x:v>4000</x:v>
      </x:c>
      <x:c r="V13" s="4" t="n">
        <x:f>U13-S13</x:f>
        <x:v>4000</x:v>
      </x:c>
      <x:c r="W13" s="4">
        <x:v>0</x:v>
      </x:c>
      <x:c r="X13" s="4" t="n">
        <x:f>X12+O13</x:f>
        <x:v>1656.0500000000002</x:v>
      </x:c>
    </x:row>
    <x:row r="14">
      <x:c r="A14" s="3">
        <x:v>46308</x:v>
      </x:c>
      <x:c r="B14" s="4">
        <x:v>0</x:v>
      </x:c>
      <x:c r="C14" s="4">
        <x:v>120</x:v>
      </x:c>
      <x:c r="D14" s="4">
        <x:v>0</x:v>
      </x:c>
      <x:c r="E14" s="4" t="n">
        <x:f>SUM(B14:D14)</x:f>
        <x:v>120</x:v>
      </x:c>
      <x:c r="F14" s="4">
        <x:v>0</x:v>
      </x:c>
      <x:c r="G14" s="4">
        <x:v>90</x:v>
      </x:c>
      <x:c r="H14" s="4">
        <x:v>0</x:v>
      </x:c>
      <x:c r="I14" s="4" t="n">
        <x:f>SUM(F14:H14)</x:f>
        <x:v>90</x:v>
      </x:c>
      <x:c r="J14" s="4" t="n">
        <x:f>B14-F14</x:f>
        <x:v>0</x:v>
      </x:c>
      <x:c r="K14" s="4" t="n">
        <x:f>C14-G14</x:f>
        <x:v>30</x:v>
      </x:c>
      <x:c r="L14" s="4" t="n">
        <x:f>E14-I14</x:f>
        <x:v>30</x:v>
      </x:c>
      <x:c r="M14" s="4">
        <x:v>20</x:v>
      </x:c>
      <x:c r="N14" s="4">
        <x:v>800</x:v>
      </x:c>
      <x:c r="O14" s="4" t="n">
        <x:f>L14-M14-N14</x:f>
        <x:v>-790</x:v>
      </x:c>
      <x:c r="P14" s="4">
        <x:v>1900</x:v>
      </x:c>
      <x:c r="Q14" s="4">
        <x:v>0</x:v>
      </x:c>
      <x:c r="R14" s="4">
        <x:v>0</x:v>
      </x:c>
      <x:c r="S14" s="4">
        <x:v>0</x:v>
      </x:c>
      <x:c r="T14" s="4">
        <x:v>0</x:v>
      </x:c>
      <x:c r="U14" s="4" t="n">
        <x:f>SUM(M14:N14,P14:S14)</x:f>
        <x:v>2720</x:v>
      </x:c>
      <x:c r="V14" s="4" t="n">
        <x:f>U14-S14</x:f>
        <x:v>2720</x:v>
      </x:c>
      <x:c r="W14" s="4">
        <x:v>20</x:v>
      </x:c>
      <x:c r="X14" s="4" t="n">
        <x:f>X13+O14</x:f>
        <x:v>866.0500000000002</x:v>
      </x:c>
    </x:row>
    <x:row r="15">
      <x:c r="A15" s="3">
        <x:v>46309</x:v>
      </x:c>
      <x:c r="B15" s="4">
        <x:v>0</x:v>
      </x:c>
      <x:c r="C15" s="4">
        <x:v>12540.1</x:v>
      </x:c>
      <x:c r="D15" s="4">
        <x:v>0</x:v>
      </x:c>
      <x:c r="E15" s="4" t="n">
        <x:f>SUM(B15:D15)</x:f>
        <x:v>12540.1</x:v>
      </x:c>
      <x:c r="F15" s="4">
        <x:v>0</x:v>
      </x:c>
      <x:c r="G15" s="4">
        <x:v>9712.05</x:v>
      </x:c>
      <x:c r="H15" s="4">
        <x:v>0</x:v>
      </x:c>
      <x:c r="I15" s="4" t="n">
        <x:f>SUM(F15:H15)</x:f>
        <x:v>9712.05</x:v>
      </x:c>
      <x:c r="J15" s="4" t="n">
        <x:f>B15-F15</x:f>
        <x:v>0</x:v>
      </x:c>
      <x:c r="K15" s="4" t="n">
        <x:f>C15-G15</x:f>
        <x:v>2828.050000000001</x:v>
      </x:c>
      <x:c r="L15" s="4" t="n">
        <x:f>E15-I15</x:f>
        <x:v>2828.050000000001</x:v>
      </x:c>
      <x:c r="M15" s="4">
        <x:v>0</x:v>
      </x:c>
      <x:c r="N15" s="4">
        <x:v>0</x:v>
      </x:c>
      <x:c r="O15" s="4" t="n">
        <x:f>L15-M15-N15</x:f>
        <x:v>2828.050000000001</x:v>
      </x:c>
      <x:c r="P15" s="4">
        <x:v>0</x:v>
      </x:c>
      <x:c r="Q15" s="4">
        <x:v>0</x:v>
      </x:c>
      <x:c r="R15" s="4">
        <x:v>0</x:v>
      </x:c>
      <x:c r="S15" s="4">
        <x:v>0</x:v>
      </x:c>
      <x:c r="T15" s="4">
        <x:v>0</x:v>
      </x:c>
      <x:c r="U15" s="4" t="n">
        <x:f>SUM(M15:N15,P15:S15)</x:f>
        <x:v>0</x:v>
      </x:c>
      <x:c r="V15" s="4" t="n">
        <x:f>U15-S15</x:f>
        <x:v>0</x:v>
      </x:c>
      <x:c r="W15" s="4">
        <x:v>0</x:v>
      </x:c>
      <x:c r="X15" s="4" t="n">
        <x:f>X14+O15</x:f>
        <x:v>3694.1000000000013</x:v>
      </x:c>
    </x:row>
    <x:row r="16">
      <x:c r="A16" s="3">
        <x:v>46310</x:v>
      </x:c>
      <x:c r="B16" s="4">
        <x:v>0</x:v>
      </x:c>
      <x:c r="C16" s="4">
        <x:v>0</x:v>
      </x:c>
      <x:c r="D16" s="4">
        <x:v>0</x:v>
      </x:c>
      <x:c r="E16" s="4" t="n">
        <x:f>SUM(B16:D16)</x:f>
        <x:v>0</x:v>
      </x:c>
      <x:c r="F16" s="4">
        <x:v>0</x:v>
      </x:c>
      <x:c r="G16" s="4">
        <x:v>0</x:v>
      </x:c>
      <x:c r="H16" s="4">
        <x:v>0</x:v>
      </x:c>
      <x:c r="I16" s="4" t="n">
        <x:f>SUM(F16:H16)</x:f>
        <x:v>0</x:v>
      </x:c>
      <x:c r="J16" s="4" t="n">
        <x:f>B16-F16</x:f>
        <x:v>0</x:v>
      </x:c>
      <x:c r="K16" s="4" t="n">
        <x:f>C16-G16</x:f>
        <x:v>0</x:v>
      </x:c>
      <x:c r="L16" s="4" t="n">
        <x:f>E16-I16</x:f>
        <x:v>0</x:v>
      </x:c>
      <x:c r="M16" s="4">
        <x:v>0</x:v>
      </x:c>
      <x:c r="N16" s="4">
        <x:v>0</x:v>
      </x:c>
      <x:c r="O16" s="4" t="n">
        <x:f>L16-M16-N16</x:f>
        <x:v>0</x:v>
      </x:c>
      <x:c r="P16" s="4">
        <x:v>0</x:v>
      </x:c>
      <x:c r="Q16" s="4">
        <x:v>0</x:v>
      </x:c>
      <x:c r="R16" s="4">
        <x:v>0</x:v>
      </x:c>
      <x:c r="S16" s="4">
        <x:v>0</x:v>
      </x:c>
      <x:c r="T16" s="4">
        <x:v>0</x:v>
      </x:c>
      <x:c r="U16" s="4" t="n">
        <x:f>SUM(M16:N16,P16:S16)</x:f>
        <x:v>0</x:v>
      </x:c>
      <x:c r="V16" s="4" t="n">
        <x:f>U16-S16</x:f>
        <x:v>0</x:v>
      </x:c>
      <x:c r="W16" s="4">
        <x:v>0</x:v>
      </x:c>
      <x:c r="X16" s="4" t="n">
        <x:f>X15+O16</x:f>
        <x:v>3694.1000000000013</x:v>
      </x:c>
    </x:row>
    <x:row r="17">
      <x:c r="A17" s="3">
        <x:v>46311</x:v>
      </x:c>
      <x:c r="B17" s="4">
        <x:v>0</x:v>
      </x:c>
      <x:c r="C17" s="4">
        <x:v>13140.1</x:v>
      </x:c>
      <x:c r="D17" s="4">
        <x:v>0</x:v>
      </x:c>
      <x:c r="E17" s="4" t="n">
        <x:f>SUM(B17:D17)</x:f>
        <x:v>13140.1</x:v>
      </x:c>
      <x:c r="F17" s="4">
        <x:v>0</x:v>
      </x:c>
      <x:c r="G17" s="4">
        <x:v>10162.05</x:v>
      </x:c>
      <x:c r="H17" s="4">
        <x:v>0</x:v>
      </x:c>
      <x:c r="I17" s="4" t="n">
        <x:f>SUM(F17:H17)</x:f>
        <x:v>10162.05</x:v>
      </x:c>
      <x:c r="J17" s="4" t="n">
        <x:f>B17-F17</x:f>
        <x:v>0</x:v>
      </x:c>
      <x:c r="K17" s="4" t="n">
        <x:f>C17-G17</x:f>
        <x:v>2978.050000000001</x:v>
      </x:c>
      <x:c r="L17" s="4" t="n">
        <x:f>E17-I17</x:f>
        <x:v>2978.050000000001</x:v>
      </x:c>
      <x:c r="M17" s="4">
        <x:v>0</x:v>
      </x:c>
      <x:c r="N17" s="4">
        <x:v>0</x:v>
      </x:c>
      <x:c r="O17" s="4" t="n">
        <x:f>L17-M17-N17</x:f>
        <x:v>2978.050000000001</x:v>
      </x:c>
      <x:c r="P17" s="4">
        <x:v>0</x:v>
      </x:c>
      <x:c r="Q17" s="4">
        <x:v>0</x:v>
      </x:c>
      <x:c r="R17" s="4">
        <x:v>0</x:v>
      </x:c>
      <x:c r="S17" s="4">
        <x:v>0</x:v>
      </x:c>
      <x:c r="T17" s="4">
        <x:v>0</x:v>
      </x:c>
      <x:c r="U17" s="4" t="n">
        <x:f>SUM(M17:N17,P17:S17)</x:f>
        <x:v>0</x:v>
      </x:c>
      <x:c r="V17" s="4" t="n">
        <x:f>U17-S17</x:f>
        <x:v>0</x:v>
      </x:c>
      <x:c r="W17" s="4">
        <x:v>0</x:v>
      </x:c>
      <x:c r="X17" s="4" t="n">
        <x:f>X16+O17</x:f>
        <x:v>6672.150000000002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ColWidth="19" defaultRowHeight="14.399999618530273"/>
  <x:cols>
    <x:col min="5" max="5" width="48" customWidth="1"/>
    <x:col min="12" max="12" width="29" customWidth="1"/>
  </x:cols>
  <x:sheetData>
    <x:row r="1" ht="34" customHeight="1">
      <x:c r="A1" s="2" t="s">
        <x:v>39</x:v>
      </x:c>
      <x:c r="B1" s="2" t="s">
        <x:v>56</x:v>
      </x:c>
      <x:c r="C1" s="2" t="s">
        <x:v>57</x:v>
      </x:c>
      <x:c r="D1" s="2" t="s">
        <x:v>58</x:v>
      </x:c>
      <x:c r="E1" s="2" t="s">
        <x:v>59</x:v>
      </x:c>
      <x:c r="F1" s="2" t="s">
        <x:v>60</x:v>
      </x:c>
      <x:c r="G1" s="2" t="s">
        <x:v>61</x:v>
      </x:c>
      <x:c r="H1" s="2" t="s">
        <x:v>62</x:v>
      </x:c>
      <x:c r="I1" s="2" t="s">
        <x:v>7</x:v>
      </x:c>
      <x:c r="J1" s="2" t="s">
        <x:v>63</x:v>
      </x:c>
      <x:c r="K1" s="2" t="s">
        <x:v>64</x:v>
      </x:c>
      <x:c r="L1" s="2" t="s">
        <x:v>65</x:v>
      </x:c>
    </x:row>
    <x:row r="2">
      <x:c r="A2" s="3">
        <x:v>46304</x:v>
      </x:c>
      <x:c r="B2" t="s">
        <x:v>66</x:v>
      </x:c>
      <x:c r="C2" t="s">
        <x:v>67</x:v>
      </x:c>
      <x:c r="D2" t="s">
        <x:v>4</x:v>
      </x:c>
      <x:c r="E2" t="s">
        <x:v>68</x:v>
      </x:c>
      <x:c r="F2" s="4">
        <x:v>1</x:v>
      </x:c>
      <x:c r="G2" s="4">
        <x:v>293.3</x:v>
      </x:c>
      <x:c r="H2" s="4">
        <x:v>0</x:v>
      </x:c>
      <x:c r="I2" s="4">
        <x:v>293.3</x:v>
      </x:c>
      <x:c r="J2" s="4">
        <x:v>127.65</x:v>
      </x:c>
      <x:c r="K2" s="4">
        <x:v>165.65</x:v>
      </x:c>
      <x:c r="L2" t="s">
        <x:v>69</x:v>
      </x:c>
    </x:row>
    <x:row r="3">
      <x:c r="A3" s="3">
        <x:v>46305</x:v>
      </x:c>
      <x:c r="B3" t="s">
        <x:v>66</x:v>
      </x:c>
      <x:c r="C3" t="s">
        <x:v>70</x:v>
      </x:c>
      <x:c r="D3" t="s">
        <x:v>4</x:v>
      </x:c>
      <x:c r="E3" t="s">
        <x:v>68</x:v>
      </x:c>
      <x:c r="F3" s="4">
        <x:v>9</x:v>
      </x:c>
      <x:c r="G3" s="4">
        <x:v>293.25</x:v>
      </x:c>
      <x:c r="H3" s="4">
        <x:v>0</x:v>
      </x:c>
      <x:c r="I3" s="4">
        <x:v>2639.25</x:v>
      </x:c>
      <x:c r="J3" s="4">
        <x:v>1148.85</x:v>
      </x:c>
      <x:c r="K3" s="4">
        <x:v>1490.4</x:v>
      </x:c>
      <x:c r="L3" t="s">
        <x:v>69</x:v>
      </x:c>
    </x:row>
    <x:row r="4">
      <x:c r="A4" s="3">
        <x:v>46308</x:v>
      </x:c>
      <x:c r="B4" t="s">
        <x:v>71</x:v>
      </x:c>
      <x:c r="C4" t="s">
        <x:v>72</x:v>
      </x:c>
      <x:c r="D4" t="s">
        <x:v>4</x:v>
      </x:c>
      <x:c r="E4" t="s">
        <x:v>68</x:v>
      </x:c>
      <x:c r="F4" s="4">
        <x:v>1</x:v>
      </x:c>
      <x:c r="G4" s="4">
        <x:v>120</x:v>
      </x:c>
      <x:c r="H4" s="4">
        <x:v>0</x:v>
      </x:c>
      <x:c r="I4" s="4">
        <x:v>120</x:v>
      </x:c>
      <x:c r="J4" s="4">
        <x:v>90</x:v>
      </x:c>
      <x:c r="K4" s="4">
        <x:v>30</x:v>
      </x:c>
      <x:c r="L4" t="s">
        <x:v>69</x:v>
      </x:c>
    </x:row>
    <x:row r="5">
      <x:c r="A5" s="3">
        <x:v>46309</x:v>
      </x:c>
      <x:c r="B5" t="s">
        <x:v>66</x:v>
      </x:c>
      <x:c r="C5" t="s">
        <x:v>73</x:v>
      </x:c>
      <x:c r="D5" t="s">
        <x:v>4</x:v>
      </x:c>
      <x:c r="E5" t="s">
        <x:v>68</x:v>
      </x:c>
      <x:c r="F5" s="4">
        <x:v>1</x:v>
      </x:c>
      <x:c r="G5" s="4">
        <x:v>120</x:v>
      </x:c>
      <x:c r="H5" s="4">
        <x:v>0</x:v>
      </x:c>
      <x:c r="I5" s="4">
        <x:v>120</x:v>
      </x:c>
      <x:c r="J5" s="4">
        <x:v>90</x:v>
      </x:c>
      <x:c r="K5" s="4">
        <x:v>30</x:v>
      </x:c>
      <x:c r="L5" t="s">
        <x:v>69</x:v>
      </x:c>
    </x:row>
    <x:row r="6">
      <x:c r="A6" s="3">
        <x:v>46309</x:v>
      </x:c>
      <x:c r="B6" t="s">
        <x:v>66</x:v>
      </x:c>
      <x:c r="C6" t="s">
        <x:v>74</x:v>
      </x:c>
      <x:c r="D6" t="s">
        <x:v>4</x:v>
      </x:c>
      <x:c r="E6" t="s">
        <x:v>75</x:v>
      </x:c>
      <x:c r="F6" s="4">
        <x:v>1</x:v>
      </x:c>
      <x:c r="G6" s="4">
        <x:v>12420.1</x:v>
      </x:c>
      <x:c r="H6" s="4">
        <x:v>0</x:v>
      </x:c>
      <x:c r="I6" s="4">
        <x:v>12420.1</x:v>
      </x:c>
      <x:c r="J6" s="4">
        <x:v>9622.05</x:v>
      </x:c>
      <x:c r="K6" s="4">
        <x:v>2798.05</x:v>
      </x:c>
      <x:c r="L6" t="s">
        <x:v>69</x:v>
      </x:c>
    </x:row>
    <x:row r="7">
      <x:c r="A7" s="3">
        <x:v>46311</x:v>
      </x:c>
      <x:c r="B7" t="s">
        <x:v>66</x:v>
      </x:c>
      <x:c r="C7" t="s">
        <x:v>76</x:v>
      </x:c>
      <x:c r="D7" t="s">
        <x:v>4</x:v>
      </x:c>
      <x:c r="E7" t="s">
        <x:v>68</x:v>
      </x:c>
      <x:c r="F7" s="4">
        <x:v>1</x:v>
      </x:c>
      <x:c r="G7" s="4">
        <x:v>120</x:v>
      </x:c>
      <x:c r="H7" s="4">
        <x:v>0</x:v>
      </x:c>
      <x:c r="I7" s="4">
        <x:v>120</x:v>
      </x:c>
      <x:c r="J7" s="4">
        <x:v>90</x:v>
      </x:c>
      <x:c r="K7" s="4">
        <x:v>30</x:v>
      </x:c>
      <x:c r="L7" t="s">
        <x:v>69</x:v>
      </x:c>
    </x:row>
    <x:row r="8">
      <x:c r="A8" s="3">
        <x:v>46311</x:v>
      </x:c>
      <x:c r="B8" t="s">
        <x:v>66</x:v>
      </x:c>
      <x:c r="C8" t="s">
        <x:v>77</x:v>
      </x:c>
      <x:c r="D8" t="s">
        <x:v>4</x:v>
      </x:c>
      <x:c r="E8" t="s">
        <x:v>68</x:v>
      </x:c>
      <x:c r="F8" s="4">
        <x:v>1</x:v>
      </x:c>
      <x:c r="G8" s="4">
        <x:v>120</x:v>
      </x:c>
      <x:c r="H8" s="4">
        <x:v>0</x:v>
      </x:c>
      <x:c r="I8" s="4">
        <x:v>120</x:v>
      </x:c>
      <x:c r="J8" s="4">
        <x:v>90</x:v>
      </x:c>
      <x:c r="K8" s="4">
        <x:v>30</x:v>
      </x:c>
      <x:c r="L8" t="s">
        <x:v>69</x:v>
      </x:c>
    </x:row>
    <x:row r="9">
      <x:c r="A9" s="3">
        <x:v>46311</x:v>
      </x:c>
      <x:c r="B9" t="s">
        <x:v>66</x:v>
      </x:c>
      <x:c r="C9" t="s">
        <x:v>78</x:v>
      </x:c>
      <x:c r="D9" t="s">
        <x:v>4</x:v>
      </x:c>
      <x:c r="E9" t="s">
        <x:v>68</x:v>
      </x:c>
      <x:c r="F9" s="4">
        <x:v>1</x:v>
      </x:c>
      <x:c r="G9" s="4">
        <x:v>120</x:v>
      </x:c>
      <x:c r="H9" s="4">
        <x:v>0</x:v>
      </x:c>
      <x:c r="I9" s="4">
        <x:v>120</x:v>
      </x:c>
      <x:c r="J9" s="4">
        <x:v>90</x:v>
      </x:c>
      <x:c r="K9" s="4">
        <x:v>30</x:v>
      </x:c>
      <x:c r="L9" t="s">
        <x:v>69</x:v>
      </x:c>
    </x:row>
    <x:row r="10">
      <x:c r="A10" s="3">
        <x:v>46311</x:v>
      </x:c>
      <x:c r="B10" t="s">
        <x:v>66</x:v>
      </x:c>
      <x:c r="C10" t="s">
        <x:v>79</x:v>
      </x:c>
      <x:c r="D10" t="s">
        <x:v>4</x:v>
      </x:c>
      <x:c r="E10" t="s">
        <x:v>68</x:v>
      </x:c>
      <x:c r="F10" s="4">
        <x:v>1</x:v>
      </x:c>
      <x:c r="G10" s="4">
        <x:v>120</x:v>
      </x:c>
      <x:c r="H10" s="4">
        <x:v>0</x:v>
      </x:c>
      <x:c r="I10" s="4">
        <x:v>120</x:v>
      </x:c>
      <x:c r="J10" s="4">
        <x:v>90</x:v>
      </x:c>
      <x:c r="K10" s="4">
        <x:v>30</x:v>
      </x:c>
      <x:c r="L10" t="s">
        <x:v>69</x:v>
      </x:c>
    </x:row>
    <x:row r="11">
      <x:c r="A11" s="3">
        <x:v>46311</x:v>
      </x:c>
      <x:c r="B11" t="s">
        <x:v>66</x:v>
      </x:c>
      <x:c r="C11" t="s">
        <x:v>80</x:v>
      </x:c>
      <x:c r="D11" t="s">
        <x:v>4</x:v>
      </x:c>
      <x:c r="E11" t="s">
        <x:v>68</x:v>
      </x:c>
      <x:c r="F11" s="4">
        <x:v>1</x:v>
      </x:c>
      <x:c r="G11" s="4">
        <x:v>120</x:v>
      </x:c>
      <x:c r="H11" s="4">
        <x:v>0</x:v>
      </x:c>
      <x:c r="I11" s="4">
        <x:v>120</x:v>
      </x:c>
      <x:c r="J11" s="4">
        <x:v>90</x:v>
      </x:c>
      <x:c r="K11" s="4">
        <x:v>30</x:v>
      </x:c>
      <x:c r="L11" t="s">
        <x:v>69</x:v>
      </x:c>
    </x:row>
    <x:row r="12">
      <x:c r="A12" s="3">
        <x:v>46311</x:v>
      </x:c>
      <x:c r="B12" t="s">
        <x:v>66</x:v>
      </x:c>
      <x:c r="C12" t="s">
        <x:v>81</x:v>
      </x:c>
      <x:c r="D12" t="s">
        <x:v>4</x:v>
      </x:c>
      <x:c r="E12" t="s">
        <x:v>75</x:v>
      </x:c>
      <x:c r="F12" s="4">
        <x:v>1</x:v>
      </x:c>
      <x:c r="G12" s="4">
        <x:v>12420.1</x:v>
      </x:c>
      <x:c r="H12" s="4">
        <x:v>0</x:v>
      </x:c>
      <x:c r="I12" s="4">
        <x:v>12420.1</x:v>
      </x:c>
      <x:c r="J12" s="4">
        <x:v>9622.05</x:v>
      </x:c>
      <x:c r="K12" s="4">
        <x:v>2798.05</x:v>
      </x:c>
      <x:c r="L12" t="s">
        <x:v>69</x:v>
      </x:c>
    </x:row>
    <x:row r="13">
      <x:c r="A13" s="3">
        <x:v>46311</x:v>
      </x:c>
      <x:c r="B13" t="s">
        <x:v>66</x:v>
      </x:c>
      <x:c r="C13" t="s">
        <x:v>82</x:v>
      </x:c>
      <x:c r="D13" t="s">
        <x:v>4</x:v>
      </x:c>
      <x:c r="E13" t="s">
        <x:v>68</x:v>
      </x:c>
      <x:c r="F13" s="4">
        <x:v>1</x:v>
      </x:c>
      <x:c r="G13" s="4">
        <x:v>120</x:v>
      </x:c>
      <x:c r="H13" s="4">
        <x:v>0</x:v>
      </x:c>
      <x:c r="I13" s="4">
        <x:v>120</x:v>
      </x:c>
      <x:c r="J13" s="4">
        <x:v>90</x:v>
      </x:c>
      <x:c r="K13" s="4">
        <x:v>30</x:v>
      </x:c>
      <x:c r="L13" t="s">
        <x:v>69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ColWidth="19" defaultRowHeight="14.399999618530273"/>
  <x:cols>
    <x:col min="6" max="6" width="60" customWidth="1"/>
    <x:col min="5" max="5" width="32" customWidth="1"/>
    <x:col min="8" max="8" width="27" customWidth="1"/>
  </x:cols>
  <x:sheetData>
    <x:row r="1" ht="34" customHeight="1">
      <x:c r="A1" s="2" t="s">
        <x:v>83</x:v>
      </x:c>
      <x:c r="B1" s="2" t="s">
        <x:v>39</x:v>
      </x:c>
      <x:c r="C1" s="2" t="s">
        <x:v>56</x:v>
      </x:c>
      <x:c r="D1" s="2" t="s">
        <x:v>84</x:v>
      </x:c>
      <x:c r="E1" s="2" t="s">
        <x:v>85</x:v>
      </x:c>
      <x:c r="F1" s="2" t="s">
        <x:v>86</x:v>
      </x:c>
      <x:c r="G1" s="2" t="s">
        <x:v>87</x:v>
      </x:c>
      <x:c r="H1" s="2" t="s">
        <x:v>88</x:v>
      </x:c>
      <x:c r="I1" s="2" t="s">
        <x:v>12</x:v>
      </x:c>
    </x:row>
    <x:row r="2">
      <x:c r="A2">
        <x:v>1</x:v>
      </x:c>
      <x:c r="B2" s="3">
        <x:v>46307</x:v>
      </x:c>
      <x:c r="C2" t="s">
        <x:v>71</x:v>
      </x:c>
      <x:c r="D2" t="s">
        <x:v>89</x:v>
      </x:c>
      <x:c r="E2" t="s">
        <x:v>90</x:v>
      </x:c>
      <x:c r="F2" t="s">
        <x:v>91</x:v>
      </x:c>
      <x:c r="G2" t="s">
        <x:v>92</x:v>
      </x:c>
      <x:c r="H2" t="s">
        <x:v>93</x:v>
      </x:c>
      <x:c r="I2" s="4">
        <x:v>1000</x:v>
      </x:c>
    </x:row>
    <x:row r="3">
      <x:c r="A3">
        <x:v>2</x:v>
      </x:c>
      <x:c r="B3" s="3">
        <x:v>46307</x:v>
      </x:c>
      <x:c r="C3" t="s">
        <x:v>71</x:v>
      </x:c>
      <x:c r="D3" t="s">
        <x:v>89</x:v>
      </x:c>
      <x:c r="E3" t="s">
        <x:v>90</x:v>
      </x:c>
      <x:c r="F3" t="s">
        <x:v>94</x:v>
      </x:c>
      <x:c r="G3" t="s">
        <x:v>92</x:v>
      </x:c>
      <x:c r="H3" t="s">
        <x:v>93</x:v>
      </x:c>
      <x:c r="I3" s="4">
        <x:v>3000</x:v>
      </x:c>
    </x:row>
    <x:row r="4">
      <x:c r="A4">
        <x:v>3</x:v>
      </x:c>
      <x:c r="B4" s="3">
        <x:v>46308</x:v>
      </x:c>
      <x:c r="C4" t="s">
        <x:v>71</x:v>
      </x:c>
      <x:c r="D4" t="s">
        <x:v>95</x:v>
      </x:c>
      <x:c r="E4" t="s">
        <x:v>90</x:v>
      </x:c>
      <x:c r="F4" t="s">
        <x:v>96</x:v>
      </x:c>
      <x:c r="G4" t="s">
        <x:v>97</x:v>
      </x:c>
      <x:c r="H4" t="s">
        <x:v>93</x:v>
      </x:c>
      <x:c r="I4" s="4">
        <x:v>1900</x:v>
      </x:c>
    </x:row>
    <x:row r="5">
      <x:c r="A5">
        <x:v>4</x:v>
      </x:c>
      <x:c r="B5" s="3">
        <x:v>46308</x:v>
      </x:c>
      <x:c r="C5" t="s">
        <x:v>71</x:v>
      </x:c>
      <x:c r="D5" t="s">
        <x:v>98</x:v>
      </x:c>
      <x:c r="E5" t="s">
        <x:v>99</x:v>
      </x:c>
      <x:c r="F5" t="s">
        <x:v>100</x:v>
      </x:c>
      <x:c r="G5"/>
      <x:c r="H5" t="s">
        <x:v>101</x:v>
      </x:c>
      <x:c r="I5" s="4">
        <x:v>20</x:v>
      </x:c>
    </x:row>
    <x:row r="6">
      <x:c r="A6">
        <x:v>5</x:v>
      </x:c>
      <x:c r="B6" s="3">
        <x:v>46308</x:v>
      </x:c>
      <x:c r="C6" t="s">
        <x:v>71</x:v>
      </x:c>
      <x:c r="D6" t="s">
        <x:v>98</x:v>
      </x:c>
      <x:c r="E6" t="s">
        <x:v>102</x:v>
      </x:c>
      <x:c r="F6" t="s">
        <x:v>103</x:v>
      </x:c>
      <x:c r="G6"/>
      <x:c r="H6" t="s">
        <x:v>104</x:v>
      </x:c>
      <x:c r="I6" s="4">
        <x:v>20</x:v>
      </x:c>
    </x:row>
    <x:row r="7">
      <x:c r="A7">
        <x:v>6</x:v>
      </x:c>
      <x:c r="B7" s="3">
        <x:v>46308</x:v>
      </x:c>
      <x:c r="C7" t="s">
        <x:v>71</x:v>
      </x:c>
      <x:c r="D7" t="s">
        <x:v>98</x:v>
      </x:c>
      <x:c r="E7" t="s">
        <x:v>105</x:v>
      </x:c>
      <x:c r="F7" t="s">
        <x:v>106</x:v>
      </x:c>
      <x:c r="G7"/>
      <x:c r="H7" t="s">
        <x:v>107</x:v>
      </x:c>
      <x:c r="I7" s="4">
        <x:v>500</x:v>
      </x:c>
    </x:row>
    <x:row r="8">
      <x:c r="A8">
        <x:v>7</x:v>
      </x:c>
      <x:c r="B8" s="3">
        <x:v>46308</x:v>
      </x:c>
      <x:c r="C8" t="s">
        <x:v>71</x:v>
      </x:c>
      <x:c r="D8" t="s">
        <x:v>89</x:v>
      </x:c>
      <x:c r="E8" t="s">
        <x:v>105</x:v>
      </x:c>
      <x:c r="F8" t="s">
        <x:v>108</x:v>
      </x:c>
      <x:c r="G8"/>
      <x:c r="H8" t="s">
        <x:v>107</x:v>
      </x:c>
      <x:c r="I8" s="4">
        <x:v>300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9" defaultRowHeight="14.399999618530273"/>
  <x:cols>
    <x:col min="1" max="1" width="130" customWidth="1"/>
    <x:col min="2" max="2" width="24" customWidth="1"/>
    <x:col min="3" max="3" width="22" customWidth="1"/>
  </x:cols>
  <x:sheetData>
    <x:row r="2">
      <x:c r="A2" s="12" t="s">
        <x:v>109</x:v>
      </x:c>
    </x:row>
    <x:row r="4" ht="34" customHeight="1">
      <x:c r="A4" s="13" t="s">
        <x:v>110</x:v>
      </x:c>
    </x:row>
    <x:row r="5" ht="34" customHeight="1">
      <x:c r="A5" s="13" t="s">
        <x:v>111</x:v>
      </x:c>
    </x:row>
    <x:row r="6" ht="34" customHeight="1">
      <x:c r="A6" s="13" t="s">
        <x:v>112</x:v>
      </x:c>
    </x:row>
    <x:row r="7" ht="34" customHeight="1">
      <x:c r="A7" s="13" t="s">
        <x:v>113</x:v>
      </x:c>
    </x:row>
    <x:row r="8" ht="34" customHeight="1">
      <x:c r="A8" s="13" t="s">
        <x:v>114</x:v>
      </x:c>
    </x:row>
    <x:row r="9" ht="34" customHeight="1">
      <x:c r="A9" s="13" t="s">
        <x:v>115</x:v>
      </x:c>
    </x:row>
    <x:row r="10" ht="34" customHeight="1">
      <x:c r="A10" s="13" t="s">
        <x:v>116</x:v>
      </x:c>
    </x:row>
    <x:row r="11" ht="34" customHeight="1">
      <x:c r="A11" s="13" t="s">
        <x:v>117</x:v>
      </x:c>
    </x:row>
    <x:row r="12" ht="34" customHeight="1">
      <x:c r="A12" s="13" t="s">
        <x:v>118</x:v>
      </x:c>
    </x:row>
    <x:row r="14">
      <x:c r="A14" t="s">
        <x:v>119</x:v>
      </x:c>
    </x:row>
    <x:row r="15" ht="34" customHeight="1">
      <x:c r="A15" s="2" t="s">
        <x:v>120</x:v>
      </x:c>
      <x:c r="B15" s="2" t="s">
        <x:v>121</x:v>
      </x:c>
      <x:c r="C15" s="2" t="s">
        <x:v>122</x:v>
      </x:c>
    </x:row>
    <x:row r="16">
      <x:c r="A16" t="s">
        <x:v>123</x:v>
      </x:c>
      <x:c r="B16" t="s">
        <x:v>93</x:v>
      </x:c>
      <x:c r="C16">
        <x:v>0</x:v>
      </x:c>
    </x:row>
    <x:row r="17">
      <x:c r="A17" t="s">
        <x:v>99</x:v>
      </x:c>
      <x:c r="B17" t="s">
        <x:v>101</x:v>
      </x:c>
      <x:c r="C17">
        <x:v>20</x:v>
      </x:c>
    </x:row>
    <x:row r="18">
      <x:c r="A18" t="s">
        <x:v>90</x:v>
      </x:c>
      <x:c r="B18" t="s">
        <x:v>124</x:v>
      </x:c>
      <x:c r="C18">
        <x:v>5900</x:v>
      </x:c>
    </x:row>
    <x:row r="19">
      <x:c r="A19" t="s">
        <x:v>105</x:v>
      </x:c>
      <x:c r="B19" t="s">
        <x:v>107</x:v>
      </x:c>
      <x:c r="C19">
        <x:v>800</x:v>
      </x:c>
    </x:row>
    <x:row r="20">
      <x:c r="A20" t="s">
        <x:v>125</x:v>
      </x:c>
      <x:c r="B20" t="s">
        <x:v>124</x:v>
      </x:c>
      <x:c r="C20">
        <x:v>0</x:v>
      </x:c>
    </x:row>
  </x:sheetData>
  <x:pageMargins left="0.7" right="0.7" top="0.75" bottom="0.75" header="0.3" footer="0.3"/>
</x:worksheet>
</file>