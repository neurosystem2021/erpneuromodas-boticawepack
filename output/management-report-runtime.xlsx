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men" sheetId="1" r:id="rId4"/>
    <sheet name="Diario" sheetId="2" r:id="rId5"/>
    <sheet name="Ventas" sheetId="3" r:id="rId6"/>
    <sheet name="Caja y bancos" sheetId="4" r:id="rId7"/>
    <sheet name="Criterios" sheetId="5" r:id="rId8"/>
  </sheets>
  <definedNames>
    <definedName name="_xlnm._FilterDatabase" localSheetId="1" hidden="1">'Diario'!$A$1:$X$17</definedName>
    <definedName name="_xlnm._FilterDatabase" localSheetId="2" hidden="1">'Ventas'!$A$1:$L$13</definedName>
    <definedName name="_xlnm._FilterDatabase" localSheetId="3" hidden="1">'Caja y bancos'!$A$1:$I$8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<sst xmlns="http://schemas.openxmlformats.org/spreadsheetml/2006/main" uniqueCount="126">
  <si>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CONSOLIDADO GERENCIAL</t>
  </si>
  <si>
    <t>2026-10-01 al 2026-10-16 · Todos los usuarios y almacenes · Soles</t>
  </si>
  <si>
    <t>Línea de negocio</t>
  </si>
  <si>
    <t>Servicios</t>
  </si>
  <si>
    <t>Mercadería</t>
  </si>
  <si>
    <t>Sin clasificar</t>
  </si>
  <si>
    <t>TOTAL EMPRESA</t>
  </si>
  <si>
    <t>Venta neta</t>
  </si>
  <si>
    <t>Costo vendido</t>
  </si>
  <si>
    <t>UTILIDAD BRUTA</t>
  </si>
  <si>
    <t>Margen bruto</t>
  </si>
  <si>
    <t>Resultado operativo</t>
  </si>
  <si>
    <t>Importe (S/)</t>
  </si>
  <si>
    <t>Utilidad bruta total</t>
  </si>
  <si>
    <t>Gastos operativos</t>
  </si>
  <si>
    <t>Pagos de personal</t>
  </si>
  <si>
    <t>UTILIDAD NETA OPERATIVA ESTIMADA</t>
  </si>
  <si>
    <t>Salidas reales de dinero</t>
  </si>
  <si>
    <t>Control de caja y bancos</t>
  </si>
  <si>
    <t>Pagos a proveedores</t>
  </si>
  <si>
    <t>Cobros Yape / Plin</t>
  </si>
  <si>
    <t>Traslados internos</t>
  </si>
  <si>
    <t>Ingresos registrados</t>
  </si>
  <si>
    <t>Otras salidas no operativas</t>
  </si>
  <si>
    <t>Salidas por clasificar</t>
  </si>
  <si>
    <t>Yape no es gasto ni salida.</t>
  </si>
  <si>
    <t>TOTAL SALIDAS EXTERNAS</t>
  </si>
  <si>
    <t>No duplica las ventas.</t>
  </si>
  <si>
    <t>Proyección por promedio histórico</t>
  </si>
  <si>
    <t>Valor</t>
  </si>
  <si>
    <t>Días calendario del período</t>
  </si>
  <si>
    <t>Base: promedio del período.</t>
  </si>
  <si>
    <t>Utilidad neta promedio por día</t>
  </si>
  <si>
    <t>Incluye días sin actividad.</t>
  </si>
  <si>
    <t>Días a proyectar (editable)</t>
  </si>
  <si>
    <t>No es un saldo bancario.</t>
  </si>
  <si>
    <t>UTILIDAD NETA PROYECTADA</t>
  </si>
  <si>
    <t>Utilidad neta estimada según costos, gastos y personal registrados. Ver criterios y cobertura.</t>
  </si>
  <si>
    <t>Pagos de compras a proveedores se muestran como salidas sin duplicar el costo vendido.</t>
  </si>
  <si>
    <t>Fecha</t>
  </si>
  <si>
    <t>Venta servicios</t>
  </si>
  <si>
    <t>Venta mercadería</t>
  </si>
  <si>
    <t>Venta sin clasificar</t>
  </si>
  <si>
    <t>Venta total</t>
  </si>
  <si>
    <t>Costo servicios</t>
  </si>
  <si>
    <t>Costo mercadería</t>
  </si>
  <si>
    <t>Costo sin clasificar</t>
  </si>
  <si>
    <t>Costo total</t>
  </si>
  <si>
    <t>U. bruta servicios</t>
  </si>
  <si>
    <t>U. bruta mercadería</t>
  </si>
  <si>
    <t>U. bruta total</t>
  </si>
  <si>
    <t>U. neta operativa estimada</t>
  </si>
  <si>
    <t>Salidas registradas</t>
  </si>
  <si>
    <t>Salidas externas</t>
  </si>
  <si>
    <t>Ingresos caja registrados</t>
  </si>
  <si>
    <t>U. neta acumulada</t>
  </si>
  <si>
    <t>Usuario</t>
  </si>
  <si>
    <t>Documento</t>
  </si>
  <si>
    <t>Tipo</t>
  </si>
  <si>
    <t>Producto</t>
  </si>
  <si>
    <t>Cantidad</t>
  </si>
  <si>
    <t>Precio unitario</t>
  </si>
  <si>
    <t>Descuento registrado</t>
  </si>
  <si>
    <t>Costo</t>
  </si>
  <si>
    <t>Utilidad bruta</t>
  </si>
  <si>
    <t>Origen del costo</t>
  </si>
  <si>
    <t>admin</t>
  </si>
  <si>
    <t>B012-1</t>
  </si>
  <si>
    <t>CAMARA DOMO 1MP HDCVI CAMERA HD HAC-T1A11N</t>
  </si>
  <si>
    <t>Costo de la venta</t>
  </si>
  <si>
    <t>B012-2</t>
  </si>
  <si>
    <t>superadmin</t>
  </si>
  <si>
    <t>B012-3</t>
  </si>
  <si>
    <t>B012-4</t>
  </si>
  <si>
    <t>B012-5</t>
  </si>
  <si>
    <t>HP LAPTOP 15-FD2378LA INTEL U7-255U 24GB 512GB FREEDOS</t>
  </si>
  <si>
    <t>B012-6</t>
  </si>
  <si>
    <t>B012-7</t>
  </si>
  <si>
    <t>B012-8</t>
  </si>
  <si>
    <t>B012-9</t>
  </si>
  <si>
    <t>B012-10</t>
  </si>
  <si>
    <t>B012-11</t>
  </si>
  <si>
    <t>B012-12</t>
  </si>
  <si>
    <t>ID</t>
  </si>
  <si>
    <t>Cuenta</t>
  </si>
  <si>
    <t>Operación registrada</t>
  </si>
  <si>
    <t>Concepto</t>
  </si>
  <si>
    <t>Proveedor</t>
  </si>
  <si>
    <t>Clasificación gerencial</t>
  </si>
  <si>
    <t>Banco BCP</t>
  </si>
  <si>
    <t>ENTREGA DE DINERO O DEPOSITO A BANCOS BCP-BBVA-NACION</t>
  </si>
  <si>
    <t>compra camaras</t>
  </si>
  <si>
    <t>DIGICORP</t>
  </si>
  <si>
    <t>proveedor</t>
  </si>
  <si>
    <t>compra de camaras op 23456</t>
  </si>
  <si>
    <t>Bancos Varios</t>
  </si>
  <si>
    <t>compra de computadoras deltron</t>
  </si>
  <si>
    <t>ANS &amp; J.V. S.A.C.</t>
  </si>
  <si>
    <t>Caja Principal</t>
  </si>
  <si>
    <t>VALE DE EGRESO</t>
  </si>
  <si>
    <t>Gasto Proyecto PROYECTO 310 - adelanto</t>
  </si>
  <si>
    <t>gasto</t>
  </si>
  <si>
    <t>PAGO DE CLIENTE</t>
  </si>
  <si>
    <t>Adelanto Proyecto PROYECTO 308 - adelanto de impresora</t>
  </si>
  <si>
    <t>ingreso</t>
  </si>
  <si>
    <t>PAGO A PERSONAL</t>
  </si>
  <si>
    <t>PLANILLA ADELANTO - FIORELA DEL PILAR ALARCON RAMIREZ / 2026-10 / 543678</t>
  </si>
  <si>
    <t>personal</t>
  </si>
  <si>
    <t>PLANILLA ADELANTO - FIORELA DEL PILAR ALARCON RAMIREZ / 2026-10 / 456346346 ADELANTO</t>
  </si>
  <si>
    <t>CRITERIOS Y COBERTURA</t>
  </si>
  <si>
    <t>Consolidado de todos los usuarios y almacenes. Importes en soles según registros del sistema, sin ajuste adicional de IGV.</t>
  </si>
  <si>
    <t>Ventas válidas: factura, boleta y nota de venta. Notas de crédito restan venta y costo registrados. Se excluyen anulados, proformas y ofertas (código 99).</t>
  </si>
  <si>
    <t>Utilidad neta operativa estimada = utilidad bruta - gastos operativos - pagos de personal. No incluye impuestos a la renta, depreciaciones ni obligaciones no registradas.</t>
  </si>
  <si>
    <t>Pagos a proveedores se muestran como salidas; no se descuentan otra vez de la utilidad porque el costo vendido ya está incluido. Si un pago corresponde a un gasto, reclasifica su tipo como gasto operativo.</t>
  </si>
  <si>
    <t>Cobros Yape/Plin se muestran aparte: no son salidas, gastos ni ventas adicionales. Se reconoce también el registro automático antiguo YAPE/PLIN. Otros registros del antiguo tipo 7 requieren clasificación.</t>
  </si>
  <si>
    <t>Los registros automáticos Tarjeta/Transferencia de ventas no se consideran gasto. Los demás registros del tipo depósitos requieren clasificar su destino real; pueden ser compras, gastos o traslados.</t>
  </si>
  <si>
    <t>Otras salidas no operativas se muestran sin reducir utilidad. Revisa su clasificación. El detalle de caja contiene todos los registros no anulados del período.</t>
  </si>
  <si>
    <t>La proyección es el promedio diario del período multiplicado por los días elegidos, incluidos días sin actividad. No es una garantía ni un saldo bancario.</t>
  </si>
  <si>
    <t>Este reporte usa gastos y pagos registrados en Caja y Banco. Compras, planillas o deudas sin pago registrado no se convierten automáticamente en gastos del período.</t>
  </si>
  <si>
    <t>Regla general por tipo. Las excepciones por movimiento se muestran en Caja y bancos.</t>
  </si>
  <si>
    <t>Tipo de caja</t>
  </si>
  <si>
    <t>Clasificación aplicada</t>
  </si>
  <si>
    <t>Importe registrado</t>
  </si>
  <si>
    <t>PAGO A PROVEEDOR</t>
  </si>
  <si>
    <t>pendiente</t>
  </si>
  <si>
    <t>PAGOS ANTIGUOS (ANTES YAPE)</t>
  </si>
</sst>
</file>

<file path=xl/styles.xml><?xml version="1.0" encoding="utf-8"?>
<styleSheet xmlns="http://schemas.openxmlformats.org/spreadsheetml/2006/main" xml:space="preserve">
  <numFmts count="3">
    <numFmt numFmtId="164" formatCode="dd/mm/yyyy"/>
    <numFmt numFmtId="165" formatCode="#,##0.00;[Red](#,##0.00);&quot;-&quot;"/>
    <numFmt numFmtId="166" formatCode="0.0%;(0.0%);&quot;-&quot;"/>
  </numFmts>
  <fonts count="8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1"/>
      <i val="0"/>
      <strike val="0"/>
      <u val="none"/>
      <sz val="10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4"/>
      <color rgb="FF00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63A5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8F1F5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3" numFmtId="166" fillId="0" borderId="0" applyFont="1" applyNumberFormat="1" applyFill="0" applyBorder="0" applyAlignment="1">
      <alignment horizontal="right" vertical="bottom" textRotation="0" wrapText="false" shrinkToFit="false"/>
    </xf>
    <xf xfId="0" fontId="0" numFmtId="1" fillId="0" borderId="0" applyFont="0" applyNumberFormat="1" applyFill="0" applyBorder="0" applyAlignment="1">
      <alignment horizontal="right" vertical="bottom" textRotation="0" wrapText="false" shrinkToFit="false"/>
    </xf>
    <xf xfId="0" fontId="4" numFmtId="1" fillId="3" borderId="0" applyFont="1" applyNumberFormat="1" applyFill="1" applyBorder="0" applyAlignment="1">
      <alignment horizontal="right" vertical="bottom" textRotation="0" wrapText="false" shrinkToFit="false"/>
    </xf>
    <xf xfId="0" fontId="5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165" fillId="4" borderId="0" applyFont="1" applyNumberFormat="1" applyFill="1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false" showRowColHeaders="1">
      <selection activeCell="A35" sqref="A35:A36"/>
    </sheetView>
  </sheetViews>
  <sheetFormatPr defaultRowHeight="14.4" defaultColWidth="19" outlineLevelRow="0" outlineLevelCol="0"/>
  <cols>
    <col min="1" max="1" width="46" customWidth="true" style="0"/>
    <col min="2" max="2" width="21" customWidth="true" style="0"/>
    <col min="3" max="3" width="21" customWidth="true" style="0"/>
    <col min="4" max="4" width="27" customWidth="true" style="0"/>
    <col min="5" max="5" width="23" customWidth="true" style="0"/>
  </cols>
  <sheetData>
    <row r="2" spans="1:5">
      <c r="A2" s="1" t="s">
        <v>0</v>
      </c>
    </row>
    <row r="3" spans="1:5">
      <c r="A3" t="s">
        <v>1</v>
      </c>
    </row>
    <row r="5" spans="1:5" customHeight="1" ht="34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>
      <c r="A6" t="s">
        <v>7</v>
      </c>
      <c r="B6" s="5">
        <f>SUM('Diario'!B2:B17)</f>
        <v>0</v>
      </c>
      <c r="C6" s="5">
        <f>SUM('Diario'!C2:C17)</f>
        <v>28732.75</v>
      </c>
      <c r="D6" s="5">
        <f>SUM('Diario'!D2:D17)</f>
        <v>0</v>
      </c>
      <c r="E6" s="5">
        <f>SUM('Diario'!E2:E17)</f>
        <v>28732.75</v>
      </c>
    </row>
    <row r="7" spans="1:5">
      <c r="A7" t="s">
        <v>8</v>
      </c>
      <c r="B7" s="5">
        <f>SUM('Diario'!F2:F17)</f>
        <v>0</v>
      </c>
      <c r="C7" s="5">
        <f>SUM('Diario'!G2:G17)</f>
        <v>21240.6</v>
      </c>
      <c r="D7" s="5">
        <f>SUM('Diario'!H2:H17)</f>
        <v>0</v>
      </c>
      <c r="E7" s="5">
        <f>SUM('Diario'!I2:I17)</f>
        <v>21240.6</v>
      </c>
    </row>
    <row r="8" spans="1:5">
      <c r="A8" s="9" t="s">
        <v>9</v>
      </c>
      <c r="B8" s="10">
        <f>SUM('Diario'!J2:J17)</f>
        <v>0</v>
      </c>
      <c r="C8" s="10">
        <f>SUM('Diario'!K2:K17)</f>
        <v>7492.15</v>
      </c>
      <c r="D8" s="10">
        <f>D6-D7</f>
        <v>0</v>
      </c>
      <c r="E8" s="10">
        <f>SUM('Diario'!L2:L17)</f>
        <v>7492.15</v>
      </c>
    </row>
    <row r="9" spans="1:5">
      <c r="A9" t="s">
        <v>10</v>
      </c>
      <c r="B9" s="6" t="str">
        <f>IF(B6=0,"n.a.",B8/B6)</f>
        <v>n.a.</v>
      </c>
      <c r="C9" s="6">
        <f>IF(C6=0,"n.a.",C8/C6)</f>
        <v>0.26075297352324</v>
      </c>
      <c r="D9" s="6" t="str">
        <f>IF(D6=0,"n.a.",D8/D6)</f>
        <v>n.a.</v>
      </c>
      <c r="E9" s="6">
        <f>IF(E6=0,"n.a.",E8/E6)</f>
        <v>0.26075297352324</v>
      </c>
    </row>
    <row r="12" spans="1:5" customHeight="1" ht="34">
      <c r="A12" s="2" t="s">
        <v>11</v>
      </c>
      <c r="B12" s="2" t="s">
        <v>12</v>
      </c>
    </row>
    <row r="13" spans="1:5">
      <c r="A13" t="s">
        <v>13</v>
      </c>
      <c r="B13" s="5">
        <f>SUM('Diario'!L2:L17)</f>
        <v>7492.15</v>
      </c>
    </row>
    <row r="14" spans="1:5">
      <c r="A14" t="s">
        <v>14</v>
      </c>
      <c r="B14" s="5">
        <f>SUM('Diario'!M2:M17)</f>
        <v>20</v>
      </c>
    </row>
    <row r="15" spans="1:5">
      <c r="A15" t="s">
        <v>15</v>
      </c>
      <c r="B15" s="5">
        <f>SUM('Diario'!N2:N17)</f>
        <v>800</v>
      </c>
    </row>
    <row r="16" spans="1:5">
      <c r="A16" s="9" t="s">
        <v>16</v>
      </c>
      <c r="B16" s="10">
        <f>SUM('Diario'!O2:O17)</f>
        <v>6672.15</v>
      </c>
    </row>
    <row r="19" spans="1:5" customHeight="1" ht="34">
      <c r="A19" s="2" t="s">
        <v>17</v>
      </c>
      <c r="B19" s="2" t="s">
        <v>12</v>
      </c>
      <c r="D19" s="2" t="s">
        <v>18</v>
      </c>
      <c r="E19" s="2" t="s">
        <v>12</v>
      </c>
    </row>
    <row r="20" spans="1:5">
      <c r="A20" t="s">
        <v>19</v>
      </c>
      <c r="B20" s="5">
        <f>SUM('Diario'!P2:P17)</f>
        <v>5900</v>
      </c>
      <c r="D20" t="s">
        <v>20</v>
      </c>
      <c r="E20" s="5">
        <f>SUM('Diario'!T2:T17)</f>
        <v>0</v>
      </c>
    </row>
    <row r="21" spans="1:5">
      <c r="A21" t="s">
        <v>14</v>
      </c>
      <c r="B21" s="5">
        <f>SUM('Diario'!M2:M17)</f>
        <v>20</v>
      </c>
      <c r="D21" t="s">
        <v>21</v>
      </c>
      <c r="E21" s="5">
        <f>SUM('Diario'!S2:S17)</f>
        <v>0</v>
      </c>
    </row>
    <row r="22" spans="1:5">
      <c r="A22" t="s">
        <v>15</v>
      </c>
      <c r="B22" s="5">
        <f>SUM('Diario'!N2:N17)</f>
        <v>800</v>
      </c>
      <c r="D22" t="s">
        <v>22</v>
      </c>
      <c r="E22" s="5">
        <f>SUM('Diario'!W2:W17)</f>
        <v>20</v>
      </c>
    </row>
    <row r="23" spans="1:5">
      <c r="A23" t="s">
        <v>23</v>
      </c>
      <c r="B23" s="5">
        <f>SUM('Diario'!Q2:Q17)</f>
        <v>0</v>
      </c>
    </row>
    <row r="24" spans="1:5">
      <c r="A24" t="s">
        <v>24</v>
      </c>
      <c r="B24" s="5">
        <f>SUM('Diario'!R2:R17)</f>
        <v>0</v>
      </c>
      <c r="D24" t="s">
        <v>25</v>
      </c>
    </row>
    <row r="25" spans="1:5">
      <c r="A25" s="9" t="s">
        <v>26</v>
      </c>
      <c r="B25" s="10">
        <f>SUM('Diario'!V2:V17)</f>
        <v>6720</v>
      </c>
      <c r="D25" t="s">
        <v>27</v>
      </c>
    </row>
    <row r="28" spans="1:5" customHeight="1" ht="34">
      <c r="A28" s="2" t="s">
        <v>28</v>
      </c>
      <c r="B28" s="2" t="s">
        <v>29</v>
      </c>
    </row>
    <row r="29" spans="1:5">
      <c r="A29" t="s">
        <v>30</v>
      </c>
      <c r="B29" s="7">
        <v>16</v>
      </c>
      <c r="D29" t="s">
        <v>31</v>
      </c>
    </row>
    <row r="30" spans="1:5">
      <c r="A30" t="s">
        <v>32</v>
      </c>
      <c r="B30" s="5">
        <f>B16/B29</f>
        <v>417.009375</v>
      </c>
      <c r="D30" t="s">
        <v>33</v>
      </c>
    </row>
    <row r="31" spans="1:5">
      <c r="A31" t="s">
        <v>34</v>
      </c>
      <c r="B31" s="8">
        <v>30</v>
      </c>
      <c r="D31" t="s">
        <v>35</v>
      </c>
    </row>
    <row r="32" spans="1:5">
      <c r="A32" s="9" t="s">
        <v>36</v>
      </c>
      <c r="B32" s="10">
        <f>B30*B31</f>
        <v>12510.28125</v>
      </c>
    </row>
    <row r="35" spans="1:5">
      <c r="A35" s="11" t="s">
        <v>37</v>
      </c>
    </row>
    <row r="36" spans="1:5">
      <c r="A36" s="1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">
    <dataValidation type="whole" errorStyle="stop" operator="between" allowBlank="0" showDropDown="1" showInputMessage="0" showErrorMessage="1" errorTitle="Días de proyección" error="Ingresa de 1 a 366 días." sqref="B31">
      <formula1>1</formula1>
      <formula2>366</formula2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X17"/>
  <sheetViews>
    <sheetView tabSelected="0" workbookViewId="0" showGridLines="fals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defaultColWidth="19" outlineLevelRow="0" outlineLevelCol="0"/>
  <cols>
    <col min="1" max="1" width="15" customWidth="true" style="0"/>
  </cols>
  <sheetData>
    <row r="1" spans="1:24" customHeight="1" ht="34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14</v>
      </c>
      <c r="N1" s="2" t="s">
        <v>15</v>
      </c>
      <c r="O1" s="2" t="s">
        <v>51</v>
      </c>
      <c r="P1" s="2" t="s">
        <v>19</v>
      </c>
      <c r="Q1" s="2" t="s">
        <v>23</v>
      </c>
      <c r="R1" s="2" t="s">
        <v>24</v>
      </c>
      <c r="S1" s="2" t="s">
        <v>21</v>
      </c>
      <c r="T1" s="2" t="s">
        <v>20</v>
      </c>
      <c r="U1" s="2" t="s">
        <v>52</v>
      </c>
      <c r="V1" s="2" t="s">
        <v>53</v>
      </c>
      <c r="W1" s="2" t="s">
        <v>54</v>
      </c>
      <c r="X1" s="2" t="s">
        <v>55</v>
      </c>
    </row>
    <row r="2" spans="1:24">
      <c r="A2" s="3">
        <v>46296</v>
      </c>
      <c r="B2" s="4">
        <v>0</v>
      </c>
      <c r="C2" s="4">
        <v>0</v>
      </c>
      <c r="D2" s="4">
        <v>0</v>
      </c>
      <c r="E2" s="4">
        <f>SUM(B2:D2)</f>
        <v>0</v>
      </c>
      <c r="F2" s="4">
        <v>0</v>
      </c>
      <c r="G2" s="4">
        <v>0</v>
      </c>
      <c r="H2" s="4">
        <v>0</v>
      </c>
      <c r="I2" s="4">
        <f>SUM(F2:H2)</f>
        <v>0</v>
      </c>
      <c r="J2" s="4">
        <f>B2-F2</f>
        <v>0</v>
      </c>
      <c r="K2" s="4">
        <f>C2-G2</f>
        <v>0</v>
      </c>
      <c r="L2" s="4">
        <f>E2-I2</f>
        <v>0</v>
      </c>
      <c r="M2" s="4">
        <v>0</v>
      </c>
      <c r="N2" s="4">
        <v>0</v>
      </c>
      <c r="O2" s="4">
        <f>L2-M2-N2</f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f>SUM(M2:N2,P2:S2)</f>
        <v>0</v>
      </c>
      <c r="V2" s="4">
        <f>U2-S2</f>
        <v>0</v>
      </c>
      <c r="W2" s="4">
        <v>0</v>
      </c>
      <c r="X2" s="4">
        <f>O2</f>
        <v>0</v>
      </c>
    </row>
    <row r="3" spans="1:24">
      <c r="A3" s="3">
        <v>46297</v>
      </c>
      <c r="B3" s="4">
        <v>0</v>
      </c>
      <c r="C3" s="4">
        <v>0</v>
      </c>
      <c r="D3" s="4">
        <v>0</v>
      </c>
      <c r="E3" s="4">
        <f>SUM(B3:D3)</f>
        <v>0</v>
      </c>
      <c r="F3" s="4">
        <v>0</v>
      </c>
      <c r="G3" s="4">
        <v>0</v>
      </c>
      <c r="H3" s="4">
        <v>0</v>
      </c>
      <c r="I3" s="4">
        <f>SUM(F3:H3)</f>
        <v>0</v>
      </c>
      <c r="J3" s="4">
        <f>B3-F3</f>
        <v>0</v>
      </c>
      <c r="K3" s="4">
        <f>C3-G3</f>
        <v>0</v>
      </c>
      <c r="L3" s="4">
        <f>E3-I3</f>
        <v>0</v>
      </c>
      <c r="M3" s="4">
        <v>0</v>
      </c>
      <c r="N3" s="4">
        <v>0</v>
      </c>
      <c r="O3" s="4">
        <f>L3-M3-N3</f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f>SUM(M3:N3,P3:S3)</f>
        <v>0</v>
      </c>
      <c r="V3" s="4">
        <f>U3-S3</f>
        <v>0</v>
      </c>
      <c r="W3" s="4">
        <v>0</v>
      </c>
      <c r="X3" s="4">
        <f>X2+O3</f>
        <v>0</v>
      </c>
    </row>
    <row r="4" spans="1:24">
      <c r="A4" s="3">
        <v>46298</v>
      </c>
      <c r="B4" s="4">
        <v>0</v>
      </c>
      <c r="C4" s="4">
        <v>0</v>
      </c>
      <c r="D4" s="4">
        <v>0</v>
      </c>
      <c r="E4" s="4">
        <f>SUM(B4:D4)</f>
        <v>0</v>
      </c>
      <c r="F4" s="4">
        <v>0</v>
      </c>
      <c r="G4" s="4">
        <v>0</v>
      </c>
      <c r="H4" s="4">
        <v>0</v>
      </c>
      <c r="I4" s="4">
        <f>SUM(F4:H4)</f>
        <v>0</v>
      </c>
      <c r="J4" s="4">
        <f>B4-F4</f>
        <v>0</v>
      </c>
      <c r="K4" s="4">
        <f>C4-G4</f>
        <v>0</v>
      </c>
      <c r="L4" s="4">
        <f>E4-I4</f>
        <v>0</v>
      </c>
      <c r="M4" s="4">
        <v>0</v>
      </c>
      <c r="N4" s="4">
        <v>0</v>
      </c>
      <c r="O4" s="4">
        <f>L4-M4-N4</f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f>SUM(M4:N4,P4:S4)</f>
        <v>0</v>
      </c>
      <c r="V4" s="4">
        <f>U4-S4</f>
        <v>0</v>
      </c>
      <c r="W4" s="4">
        <v>0</v>
      </c>
      <c r="X4" s="4">
        <f>X3+O4</f>
        <v>0</v>
      </c>
    </row>
    <row r="5" spans="1:24">
      <c r="A5" s="3">
        <v>46299</v>
      </c>
      <c r="B5" s="4">
        <v>0</v>
      </c>
      <c r="C5" s="4">
        <v>0</v>
      </c>
      <c r="D5" s="4">
        <v>0</v>
      </c>
      <c r="E5" s="4">
        <f>SUM(B5:D5)</f>
        <v>0</v>
      </c>
      <c r="F5" s="4">
        <v>0</v>
      </c>
      <c r="G5" s="4">
        <v>0</v>
      </c>
      <c r="H5" s="4">
        <v>0</v>
      </c>
      <c r="I5" s="4">
        <f>SUM(F5:H5)</f>
        <v>0</v>
      </c>
      <c r="J5" s="4">
        <f>B5-F5</f>
        <v>0</v>
      </c>
      <c r="K5" s="4">
        <f>C5-G5</f>
        <v>0</v>
      </c>
      <c r="L5" s="4">
        <f>E5-I5</f>
        <v>0</v>
      </c>
      <c r="M5" s="4">
        <v>0</v>
      </c>
      <c r="N5" s="4">
        <v>0</v>
      </c>
      <c r="O5" s="4">
        <f>L5-M5-N5</f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f>SUM(M5:N5,P5:S5)</f>
        <v>0</v>
      </c>
      <c r="V5" s="4">
        <f>U5-S5</f>
        <v>0</v>
      </c>
      <c r="W5" s="4">
        <v>0</v>
      </c>
      <c r="X5" s="4">
        <f>X4+O5</f>
        <v>0</v>
      </c>
    </row>
    <row r="6" spans="1:24">
      <c r="A6" s="3">
        <v>46300</v>
      </c>
      <c r="B6" s="4">
        <v>0</v>
      </c>
      <c r="C6" s="4">
        <v>0</v>
      </c>
      <c r="D6" s="4">
        <v>0</v>
      </c>
      <c r="E6" s="4">
        <f>SUM(B6:D6)</f>
        <v>0</v>
      </c>
      <c r="F6" s="4">
        <v>0</v>
      </c>
      <c r="G6" s="4">
        <v>0</v>
      </c>
      <c r="H6" s="4">
        <v>0</v>
      </c>
      <c r="I6" s="4">
        <f>SUM(F6:H6)</f>
        <v>0</v>
      </c>
      <c r="J6" s="4">
        <f>B6-F6</f>
        <v>0</v>
      </c>
      <c r="K6" s="4">
        <f>C6-G6</f>
        <v>0</v>
      </c>
      <c r="L6" s="4">
        <f>E6-I6</f>
        <v>0</v>
      </c>
      <c r="M6" s="4">
        <v>0</v>
      </c>
      <c r="N6" s="4">
        <v>0</v>
      </c>
      <c r="O6" s="4">
        <f>L6-M6-N6</f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f>SUM(M6:N6,P6:S6)</f>
        <v>0</v>
      </c>
      <c r="V6" s="4">
        <f>U6-S6</f>
        <v>0</v>
      </c>
      <c r="W6" s="4">
        <v>0</v>
      </c>
      <c r="X6" s="4">
        <f>X5+O6</f>
        <v>0</v>
      </c>
    </row>
    <row r="7" spans="1:24">
      <c r="A7" s="3">
        <v>46301</v>
      </c>
      <c r="B7" s="4">
        <v>0</v>
      </c>
      <c r="C7" s="4">
        <v>0</v>
      </c>
      <c r="D7" s="4">
        <v>0</v>
      </c>
      <c r="E7" s="4">
        <f>SUM(B7:D7)</f>
        <v>0</v>
      </c>
      <c r="F7" s="4">
        <v>0</v>
      </c>
      <c r="G7" s="4">
        <v>0</v>
      </c>
      <c r="H7" s="4">
        <v>0</v>
      </c>
      <c r="I7" s="4">
        <f>SUM(F7:H7)</f>
        <v>0</v>
      </c>
      <c r="J7" s="4">
        <f>B7-F7</f>
        <v>0</v>
      </c>
      <c r="K7" s="4">
        <f>C7-G7</f>
        <v>0</v>
      </c>
      <c r="L7" s="4">
        <f>E7-I7</f>
        <v>0</v>
      </c>
      <c r="M7" s="4">
        <v>0</v>
      </c>
      <c r="N7" s="4">
        <v>0</v>
      </c>
      <c r="O7" s="4">
        <f>L7-M7-N7</f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f>SUM(M7:N7,P7:S7)</f>
        <v>0</v>
      </c>
      <c r="V7" s="4">
        <f>U7-S7</f>
        <v>0</v>
      </c>
      <c r="W7" s="4">
        <v>0</v>
      </c>
      <c r="X7" s="4">
        <f>X6+O7</f>
        <v>0</v>
      </c>
    </row>
    <row r="8" spans="1:24">
      <c r="A8" s="3">
        <v>46302</v>
      </c>
      <c r="B8" s="4">
        <v>0</v>
      </c>
      <c r="C8" s="4">
        <v>0</v>
      </c>
      <c r="D8" s="4">
        <v>0</v>
      </c>
      <c r="E8" s="4">
        <f>SUM(B8:D8)</f>
        <v>0</v>
      </c>
      <c r="F8" s="4">
        <v>0</v>
      </c>
      <c r="G8" s="4">
        <v>0</v>
      </c>
      <c r="H8" s="4">
        <v>0</v>
      </c>
      <c r="I8" s="4">
        <f>SUM(F8:H8)</f>
        <v>0</v>
      </c>
      <c r="J8" s="4">
        <f>B8-F8</f>
        <v>0</v>
      </c>
      <c r="K8" s="4">
        <f>C8-G8</f>
        <v>0</v>
      </c>
      <c r="L8" s="4">
        <f>E8-I8</f>
        <v>0</v>
      </c>
      <c r="M8" s="4">
        <v>0</v>
      </c>
      <c r="N8" s="4">
        <v>0</v>
      </c>
      <c r="O8" s="4">
        <f>L8-M8-N8</f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f>SUM(M8:N8,P8:S8)</f>
        <v>0</v>
      </c>
      <c r="V8" s="4">
        <f>U8-S8</f>
        <v>0</v>
      </c>
      <c r="W8" s="4">
        <v>0</v>
      </c>
      <c r="X8" s="4">
        <f>X7+O8</f>
        <v>0</v>
      </c>
    </row>
    <row r="9" spans="1:24">
      <c r="A9" s="3">
        <v>46303</v>
      </c>
      <c r="B9" s="4">
        <v>0</v>
      </c>
      <c r="C9" s="4">
        <v>0</v>
      </c>
      <c r="D9" s="4">
        <v>0</v>
      </c>
      <c r="E9" s="4">
        <f>SUM(B9:D9)</f>
        <v>0</v>
      </c>
      <c r="F9" s="4">
        <v>0</v>
      </c>
      <c r="G9" s="4">
        <v>0</v>
      </c>
      <c r="H9" s="4">
        <v>0</v>
      </c>
      <c r="I9" s="4">
        <f>SUM(F9:H9)</f>
        <v>0</v>
      </c>
      <c r="J9" s="4">
        <f>B9-F9</f>
        <v>0</v>
      </c>
      <c r="K9" s="4">
        <f>C9-G9</f>
        <v>0</v>
      </c>
      <c r="L9" s="4">
        <f>E9-I9</f>
        <v>0</v>
      </c>
      <c r="M9" s="4">
        <v>0</v>
      </c>
      <c r="N9" s="4">
        <v>0</v>
      </c>
      <c r="O9" s="4">
        <f>L9-M9-N9</f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f>SUM(M9:N9,P9:S9)</f>
        <v>0</v>
      </c>
      <c r="V9" s="4">
        <f>U9-S9</f>
        <v>0</v>
      </c>
      <c r="W9" s="4">
        <v>0</v>
      </c>
      <c r="X9" s="4">
        <f>X8+O9</f>
        <v>0</v>
      </c>
    </row>
    <row r="10" spans="1:24">
      <c r="A10" s="3">
        <v>46304</v>
      </c>
      <c r="B10" s="4">
        <v>0</v>
      </c>
      <c r="C10" s="4">
        <v>293.3</v>
      </c>
      <c r="D10" s="4">
        <v>0</v>
      </c>
      <c r="E10" s="4">
        <f>SUM(B10:D10)</f>
        <v>293.3</v>
      </c>
      <c r="F10" s="4">
        <v>0</v>
      </c>
      <c r="G10" s="4">
        <v>127.65</v>
      </c>
      <c r="H10" s="4">
        <v>0</v>
      </c>
      <c r="I10" s="4">
        <f>SUM(F10:H10)</f>
        <v>127.65</v>
      </c>
      <c r="J10" s="4">
        <f>B10-F10</f>
        <v>0</v>
      </c>
      <c r="K10" s="4">
        <f>C10-G10</f>
        <v>165.65</v>
      </c>
      <c r="L10" s="4">
        <f>E10-I10</f>
        <v>165.65</v>
      </c>
      <c r="M10" s="4">
        <v>0</v>
      </c>
      <c r="N10" s="4">
        <v>0</v>
      </c>
      <c r="O10" s="4">
        <f>L10-M10-N10</f>
        <v>165.65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f>SUM(M10:N10,P10:S10)</f>
        <v>0</v>
      </c>
      <c r="V10" s="4">
        <f>U10-S10</f>
        <v>0</v>
      </c>
      <c r="W10" s="4">
        <v>0</v>
      </c>
      <c r="X10" s="4">
        <f>X9+O10</f>
        <v>165.65</v>
      </c>
    </row>
    <row r="11" spans="1:24">
      <c r="A11" s="3">
        <v>46305</v>
      </c>
      <c r="B11" s="4">
        <v>0</v>
      </c>
      <c r="C11" s="4">
        <v>2639.25</v>
      </c>
      <c r="D11" s="4">
        <v>0</v>
      </c>
      <c r="E11" s="4">
        <f>SUM(B11:D11)</f>
        <v>2639.25</v>
      </c>
      <c r="F11" s="4">
        <v>0</v>
      </c>
      <c r="G11" s="4">
        <v>1148.85</v>
      </c>
      <c r="H11" s="4">
        <v>0</v>
      </c>
      <c r="I11" s="4">
        <f>SUM(F11:H11)</f>
        <v>1148.85</v>
      </c>
      <c r="J11" s="4">
        <f>B11-F11</f>
        <v>0</v>
      </c>
      <c r="K11" s="4">
        <f>C11-G11</f>
        <v>1490.4</v>
      </c>
      <c r="L11" s="4">
        <f>E11-I11</f>
        <v>1490.4</v>
      </c>
      <c r="M11" s="4">
        <v>0</v>
      </c>
      <c r="N11" s="4">
        <v>0</v>
      </c>
      <c r="O11" s="4">
        <f>L11-M11-N11</f>
        <v>1490.4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f>SUM(M11:N11,P11:S11)</f>
        <v>0</v>
      </c>
      <c r="V11" s="4">
        <f>U11-S11</f>
        <v>0</v>
      </c>
      <c r="W11" s="4">
        <v>0</v>
      </c>
      <c r="X11" s="4">
        <f>X10+O11</f>
        <v>1656.05</v>
      </c>
    </row>
    <row r="12" spans="1:24">
      <c r="A12" s="3">
        <v>46306</v>
      </c>
      <c r="B12" s="4">
        <v>0</v>
      </c>
      <c r="C12" s="4">
        <v>0</v>
      </c>
      <c r="D12" s="4">
        <v>0</v>
      </c>
      <c r="E12" s="4">
        <f>SUM(B12:D12)</f>
        <v>0</v>
      </c>
      <c r="F12" s="4">
        <v>0</v>
      </c>
      <c r="G12" s="4">
        <v>0</v>
      </c>
      <c r="H12" s="4">
        <v>0</v>
      </c>
      <c r="I12" s="4">
        <f>SUM(F12:H12)</f>
        <v>0</v>
      </c>
      <c r="J12" s="4">
        <f>B12-F12</f>
        <v>0</v>
      </c>
      <c r="K12" s="4">
        <f>C12-G12</f>
        <v>0</v>
      </c>
      <c r="L12" s="4">
        <f>E12-I12</f>
        <v>0</v>
      </c>
      <c r="M12" s="4">
        <v>0</v>
      </c>
      <c r="N12" s="4">
        <v>0</v>
      </c>
      <c r="O12" s="4">
        <f>L12-M12-N12</f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f>SUM(M12:N12,P12:S12)</f>
        <v>0</v>
      </c>
      <c r="V12" s="4">
        <f>U12-S12</f>
        <v>0</v>
      </c>
      <c r="W12" s="4">
        <v>0</v>
      </c>
      <c r="X12" s="4">
        <f>X11+O12</f>
        <v>1656.05</v>
      </c>
    </row>
    <row r="13" spans="1:24">
      <c r="A13" s="3">
        <v>46307</v>
      </c>
      <c r="B13" s="4">
        <v>0</v>
      </c>
      <c r="C13" s="4">
        <v>0</v>
      </c>
      <c r="D13" s="4">
        <v>0</v>
      </c>
      <c r="E13" s="4">
        <f>SUM(B13:D13)</f>
        <v>0</v>
      </c>
      <c r="F13" s="4">
        <v>0</v>
      </c>
      <c r="G13" s="4">
        <v>0</v>
      </c>
      <c r="H13" s="4">
        <v>0</v>
      </c>
      <c r="I13" s="4">
        <f>SUM(F13:H13)</f>
        <v>0</v>
      </c>
      <c r="J13" s="4">
        <f>B13-F13</f>
        <v>0</v>
      </c>
      <c r="K13" s="4">
        <f>C13-G13</f>
        <v>0</v>
      </c>
      <c r="L13" s="4">
        <f>E13-I13</f>
        <v>0</v>
      </c>
      <c r="M13" s="4">
        <v>0</v>
      </c>
      <c r="N13" s="4">
        <v>0</v>
      </c>
      <c r="O13" s="4">
        <f>L13-M13-N13</f>
        <v>0</v>
      </c>
      <c r="P13" s="4">
        <v>4000</v>
      </c>
      <c r="Q13" s="4">
        <v>0</v>
      </c>
      <c r="R13" s="4">
        <v>0</v>
      </c>
      <c r="S13" s="4">
        <v>0</v>
      </c>
      <c r="T13" s="4">
        <v>0</v>
      </c>
      <c r="U13" s="4">
        <f>SUM(M13:N13,P13:S13)</f>
        <v>4000</v>
      </c>
      <c r="V13" s="4">
        <f>U13-S13</f>
        <v>4000</v>
      </c>
      <c r="W13" s="4">
        <v>0</v>
      </c>
      <c r="X13" s="4">
        <f>X12+O13</f>
        <v>1656.05</v>
      </c>
    </row>
    <row r="14" spans="1:24">
      <c r="A14" s="3">
        <v>46308</v>
      </c>
      <c r="B14" s="4">
        <v>0</v>
      </c>
      <c r="C14" s="4">
        <v>120</v>
      </c>
      <c r="D14" s="4">
        <v>0</v>
      </c>
      <c r="E14" s="4">
        <f>SUM(B14:D14)</f>
        <v>120</v>
      </c>
      <c r="F14" s="4">
        <v>0</v>
      </c>
      <c r="G14" s="4">
        <v>90</v>
      </c>
      <c r="H14" s="4">
        <v>0</v>
      </c>
      <c r="I14" s="4">
        <f>SUM(F14:H14)</f>
        <v>90</v>
      </c>
      <c r="J14" s="4">
        <f>B14-F14</f>
        <v>0</v>
      </c>
      <c r="K14" s="4">
        <f>C14-G14</f>
        <v>30</v>
      </c>
      <c r="L14" s="4">
        <f>E14-I14</f>
        <v>30</v>
      </c>
      <c r="M14" s="4">
        <v>20</v>
      </c>
      <c r="N14" s="4">
        <v>800</v>
      </c>
      <c r="O14" s="4">
        <f>L14-M14-N14</f>
        <v>-790</v>
      </c>
      <c r="P14" s="4">
        <v>1900</v>
      </c>
      <c r="Q14" s="4">
        <v>0</v>
      </c>
      <c r="R14" s="4">
        <v>0</v>
      </c>
      <c r="S14" s="4">
        <v>0</v>
      </c>
      <c r="T14" s="4">
        <v>0</v>
      </c>
      <c r="U14" s="4">
        <f>SUM(M14:N14,P14:S14)</f>
        <v>2720</v>
      </c>
      <c r="V14" s="4">
        <f>U14-S14</f>
        <v>2720</v>
      </c>
      <c r="W14" s="4">
        <v>20</v>
      </c>
      <c r="X14" s="4">
        <f>X13+O14</f>
        <v>866.05</v>
      </c>
    </row>
    <row r="15" spans="1:24">
      <c r="A15" s="3">
        <v>46309</v>
      </c>
      <c r="B15" s="4">
        <v>0</v>
      </c>
      <c r="C15" s="4">
        <v>12540.1</v>
      </c>
      <c r="D15" s="4">
        <v>0</v>
      </c>
      <c r="E15" s="4">
        <f>SUM(B15:D15)</f>
        <v>12540.1</v>
      </c>
      <c r="F15" s="4">
        <v>0</v>
      </c>
      <c r="G15" s="4">
        <v>9712.05</v>
      </c>
      <c r="H15" s="4">
        <v>0</v>
      </c>
      <c r="I15" s="4">
        <f>SUM(F15:H15)</f>
        <v>9712.05</v>
      </c>
      <c r="J15" s="4">
        <f>B15-F15</f>
        <v>0</v>
      </c>
      <c r="K15" s="4">
        <f>C15-G15</f>
        <v>2828.05</v>
      </c>
      <c r="L15" s="4">
        <f>E15-I15</f>
        <v>2828.05</v>
      </c>
      <c r="M15" s="4">
        <v>0</v>
      </c>
      <c r="N15" s="4">
        <v>0</v>
      </c>
      <c r="O15" s="4">
        <f>L15-M15-N15</f>
        <v>2828.05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f>SUM(M15:N15,P15:S15)</f>
        <v>0</v>
      </c>
      <c r="V15" s="4">
        <f>U15-S15</f>
        <v>0</v>
      </c>
      <c r="W15" s="4">
        <v>0</v>
      </c>
      <c r="X15" s="4">
        <f>X14+O15</f>
        <v>3694.1</v>
      </c>
    </row>
    <row r="16" spans="1:24">
      <c r="A16" s="3">
        <v>46310</v>
      </c>
      <c r="B16" s="4">
        <v>0</v>
      </c>
      <c r="C16" s="4">
        <v>0</v>
      </c>
      <c r="D16" s="4">
        <v>0</v>
      </c>
      <c r="E16" s="4">
        <f>SUM(B16:D16)</f>
        <v>0</v>
      </c>
      <c r="F16" s="4">
        <v>0</v>
      </c>
      <c r="G16" s="4">
        <v>0</v>
      </c>
      <c r="H16" s="4">
        <v>0</v>
      </c>
      <c r="I16" s="4">
        <f>SUM(F16:H16)</f>
        <v>0</v>
      </c>
      <c r="J16" s="4">
        <f>B16-F16</f>
        <v>0</v>
      </c>
      <c r="K16" s="4">
        <f>C16-G16</f>
        <v>0</v>
      </c>
      <c r="L16" s="4">
        <f>E16-I16</f>
        <v>0</v>
      </c>
      <c r="M16" s="4">
        <v>0</v>
      </c>
      <c r="N16" s="4">
        <v>0</v>
      </c>
      <c r="O16" s="4">
        <f>L16-M16-N16</f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f>SUM(M16:N16,P16:S16)</f>
        <v>0</v>
      </c>
      <c r="V16" s="4">
        <f>U16-S16</f>
        <v>0</v>
      </c>
      <c r="W16" s="4">
        <v>0</v>
      </c>
      <c r="X16" s="4">
        <f>X15+O16</f>
        <v>3694.1</v>
      </c>
    </row>
    <row r="17" spans="1:24">
      <c r="A17" s="3">
        <v>46311</v>
      </c>
      <c r="B17" s="4">
        <v>0</v>
      </c>
      <c r="C17" s="4">
        <v>13140.1</v>
      </c>
      <c r="D17" s="4">
        <v>0</v>
      </c>
      <c r="E17" s="4">
        <f>SUM(B17:D17)</f>
        <v>13140.1</v>
      </c>
      <c r="F17" s="4">
        <v>0</v>
      </c>
      <c r="G17" s="4">
        <v>10162.05</v>
      </c>
      <c r="H17" s="4">
        <v>0</v>
      </c>
      <c r="I17" s="4">
        <f>SUM(F17:H17)</f>
        <v>10162.05</v>
      </c>
      <c r="J17" s="4">
        <f>B17-F17</f>
        <v>0</v>
      </c>
      <c r="K17" s="4">
        <f>C17-G17</f>
        <v>2978.05</v>
      </c>
      <c r="L17" s="4">
        <f>E17-I17</f>
        <v>2978.05</v>
      </c>
      <c r="M17" s="4">
        <v>0</v>
      </c>
      <c r="N17" s="4">
        <v>0</v>
      </c>
      <c r="O17" s="4">
        <f>L17-M17-N17</f>
        <v>2978.05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f>SUM(M17:N17,P17:S17)</f>
        <v>0</v>
      </c>
      <c r="V17" s="4">
        <f>U17-S17</f>
        <v>0</v>
      </c>
      <c r="W17" s="4">
        <v>0</v>
      </c>
      <c r="X17" s="4">
        <f>X16+O17</f>
        <v>6672.15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X17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3"/>
  <sheetViews>
    <sheetView tabSelected="0" workbookViewId="0" showGridLines="false" showRowColHeaders="1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4" defaultColWidth="19" outlineLevelRow="0" outlineLevelCol="0"/>
  <cols>
    <col min="5" max="5" width="48" customWidth="true" style="0"/>
    <col min="12" max="12" width="29" customWidth="true" style="0"/>
  </cols>
  <sheetData>
    <row r="1" spans="1:12" customHeight="1" ht="34">
      <c r="A1" s="2" t="s">
        <v>39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7</v>
      </c>
      <c r="J1" s="2" t="s">
        <v>63</v>
      </c>
      <c r="K1" s="2" t="s">
        <v>64</v>
      </c>
      <c r="L1" s="2" t="s">
        <v>65</v>
      </c>
    </row>
    <row r="2" spans="1:12">
      <c r="A2" s="3">
        <v>46304</v>
      </c>
      <c r="B2" t="s">
        <v>66</v>
      </c>
      <c r="C2" t="s">
        <v>67</v>
      </c>
      <c r="D2" t="s">
        <v>4</v>
      </c>
      <c r="E2" t="s">
        <v>68</v>
      </c>
      <c r="F2" s="4">
        <v>1</v>
      </c>
      <c r="G2" s="4">
        <v>293.3</v>
      </c>
      <c r="H2" s="4">
        <v>0</v>
      </c>
      <c r="I2" s="4">
        <v>293.3</v>
      </c>
      <c r="J2" s="4">
        <v>127.65</v>
      </c>
      <c r="K2" s="4">
        <v>165.65</v>
      </c>
      <c r="L2" t="s">
        <v>69</v>
      </c>
    </row>
    <row r="3" spans="1:12">
      <c r="A3" s="3">
        <v>46305</v>
      </c>
      <c r="B3" t="s">
        <v>66</v>
      </c>
      <c r="C3" t="s">
        <v>70</v>
      </c>
      <c r="D3" t="s">
        <v>4</v>
      </c>
      <c r="E3" t="s">
        <v>68</v>
      </c>
      <c r="F3" s="4">
        <v>9</v>
      </c>
      <c r="G3" s="4">
        <v>293.25</v>
      </c>
      <c r="H3" s="4">
        <v>0</v>
      </c>
      <c r="I3" s="4">
        <v>2639.25</v>
      </c>
      <c r="J3" s="4">
        <v>1148.85</v>
      </c>
      <c r="K3" s="4">
        <v>1490.4</v>
      </c>
      <c r="L3" t="s">
        <v>69</v>
      </c>
    </row>
    <row r="4" spans="1:12">
      <c r="A4" s="3">
        <v>46308</v>
      </c>
      <c r="B4" t="s">
        <v>71</v>
      </c>
      <c r="C4" t="s">
        <v>72</v>
      </c>
      <c r="D4" t="s">
        <v>4</v>
      </c>
      <c r="E4" t="s">
        <v>68</v>
      </c>
      <c r="F4" s="4">
        <v>1</v>
      </c>
      <c r="G4" s="4">
        <v>120</v>
      </c>
      <c r="H4" s="4">
        <v>0</v>
      </c>
      <c r="I4" s="4">
        <v>120</v>
      </c>
      <c r="J4" s="4">
        <v>90</v>
      </c>
      <c r="K4" s="4">
        <v>30</v>
      </c>
      <c r="L4" t="s">
        <v>69</v>
      </c>
    </row>
    <row r="5" spans="1:12">
      <c r="A5" s="3">
        <v>46309</v>
      </c>
      <c r="B5" t="s">
        <v>66</v>
      </c>
      <c r="C5" t="s">
        <v>73</v>
      </c>
      <c r="D5" t="s">
        <v>4</v>
      </c>
      <c r="E5" t="s">
        <v>68</v>
      </c>
      <c r="F5" s="4">
        <v>1</v>
      </c>
      <c r="G5" s="4">
        <v>120</v>
      </c>
      <c r="H5" s="4">
        <v>0</v>
      </c>
      <c r="I5" s="4">
        <v>120</v>
      </c>
      <c r="J5" s="4">
        <v>90</v>
      </c>
      <c r="K5" s="4">
        <v>30</v>
      </c>
      <c r="L5" t="s">
        <v>69</v>
      </c>
    </row>
    <row r="6" spans="1:12">
      <c r="A6" s="3">
        <v>46309</v>
      </c>
      <c r="B6" t="s">
        <v>66</v>
      </c>
      <c r="C6" t="s">
        <v>74</v>
      </c>
      <c r="D6" t="s">
        <v>4</v>
      </c>
      <c r="E6" t="s">
        <v>75</v>
      </c>
      <c r="F6" s="4">
        <v>1</v>
      </c>
      <c r="G6" s="4">
        <v>12420.1</v>
      </c>
      <c r="H6" s="4">
        <v>0</v>
      </c>
      <c r="I6" s="4">
        <v>12420.1</v>
      </c>
      <c r="J6" s="4">
        <v>9622.05</v>
      </c>
      <c r="K6" s="4">
        <v>2798.05</v>
      </c>
      <c r="L6" t="s">
        <v>69</v>
      </c>
    </row>
    <row r="7" spans="1:12">
      <c r="A7" s="3">
        <v>46311</v>
      </c>
      <c r="B7" t="s">
        <v>66</v>
      </c>
      <c r="C7" t="s">
        <v>76</v>
      </c>
      <c r="D7" t="s">
        <v>4</v>
      </c>
      <c r="E7" t="s">
        <v>68</v>
      </c>
      <c r="F7" s="4">
        <v>1</v>
      </c>
      <c r="G7" s="4">
        <v>120</v>
      </c>
      <c r="H7" s="4">
        <v>0</v>
      </c>
      <c r="I7" s="4">
        <v>120</v>
      </c>
      <c r="J7" s="4">
        <v>90</v>
      </c>
      <c r="K7" s="4">
        <v>30</v>
      </c>
      <c r="L7" t="s">
        <v>69</v>
      </c>
    </row>
    <row r="8" spans="1:12">
      <c r="A8" s="3">
        <v>46311</v>
      </c>
      <c r="B8" t="s">
        <v>66</v>
      </c>
      <c r="C8" t="s">
        <v>77</v>
      </c>
      <c r="D8" t="s">
        <v>4</v>
      </c>
      <c r="E8" t="s">
        <v>68</v>
      </c>
      <c r="F8" s="4">
        <v>1</v>
      </c>
      <c r="G8" s="4">
        <v>120</v>
      </c>
      <c r="H8" s="4">
        <v>0</v>
      </c>
      <c r="I8" s="4">
        <v>120</v>
      </c>
      <c r="J8" s="4">
        <v>90</v>
      </c>
      <c r="K8" s="4">
        <v>30</v>
      </c>
      <c r="L8" t="s">
        <v>69</v>
      </c>
    </row>
    <row r="9" spans="1:12">
      <c r="A9" s="3">
        <v>46311</v>
      </c>
      <c r="B9" t="s">
        <v>66</v>
      </c>
      <c r="C9" t="s">
        <v>78</v>
      </c>
      <c r="D9" t="s">
        <v>4</v>
      </c>
      <c r="E9" t="s">
        <v>68</v>
      </c>
      <c r="F9" s="4">
        <v>1</v>
      </c>
      <c r="G9" s="4">
        <v>120</v>
      </c>
      <c r="H9" s="4">
        <v>0</v>
      </c>
      <c r="I9" s="4">
        <v>120</v>
      </c>
      <c r="J9" s="4">
        <v>90</v>
      </c>
      <c r="K9" s="4">
        <v>30</v>
      </c>
      <c r="L9" t="s">
        <v>69</v>
      </c>
    </row>
    <row r="10" spans="1:12">
      <c r="A10" s="3">
        <v>46311</v>
      </c>
      <c r="B10" t="s">
        <v>66</v>
      </c>
      <c r="C10" t="s">
        <v>79</v>
      </c>
      <c r="D10" t="s">
        <v>4</v>
      </c>
      <c r="E10" t="s">
        <v>68</v>
      </c>
      <c r="F10" s="4">
        <v>1</v>
      </c>
      <c r="G10" s="4">
        <v>120</v>
      </c>
      <c r="H10" s="4">
        <v>0</v>
      </c>
      <c r="I10" s="4">
        <v>120</v>
      </c>
      <c r="J10" s="4">
        <v>90</v>
      </c>
      <c r="K10" s="4">
        <v>30</v>
      </c>
      <c r="L10" t="s">
        <v>69</v>
      </c>
    </row>
    <row r="11" spans="1:12">
      <c r="A11" s="3">
        <v>46311</v>
      </c>
      <c r="B11" t="s">
        <v>66</v>
      </c>
      <c r="C11" t="s">
        <v>80</v>
      </c>
      <c r="D11" t="s">
        <v>4</v>
      </c>
      <c r="E11" t="s">
        <v>68</v>
      </c>
      <c r="F11" s="4">
        <v>1</v>
      </c>
      <c r="G11" s="4">
        <v>120</v>
      </c>
      <c r="H11" s="4">
        <v>0</v>
      </c>
      <c r="I11" s="4">
        <v>120</v>
      </c>
      <c r="J11" s="4">
        <v>90</v>
      </c>
      <c r="K11" s="4">
        <v>30</v>
      </c>
      <c r="L11" t="s">
        <v>69</v>
      </c>
    </row>
    <row r="12" spans="1:12">
      <c r="A12" s="3">
        <v>46311</v>
      </c>
      <c r="B12" t="s">
        <v>66</v>
      </c>
      <c r="C12" t="s">
        <v>81</v>
      </c>
      <c r="D12" t="s">
        <v>4</v>
      </c>
      <c r="E12" t="s">
        <v>75</v>
      </c>
      <c r="F12" s="4">
        <v>1</v>
      </c>
      <c r="G12" s="4">
        <v>12420.1</v>
      </c>
      <c r="H12" s="4">
        <v>0</v>
      </c>
      <c r="I12" s="4">
        <v>12420.1</v>
      </c>
      <c r="J12" s="4">
        <v>9622.05</v>
      </c>
      <c r="K12" s="4">
        <v>2798.05</v>
      </c>
      <c r="L12" t="s">
        <v>69</v>
      </c>
    </row>
    <row r="13" spans="1:12">
      <c r="A13" s="3">
        <v>46311</v>
      </c>
      <c r="B13" t="s">
        <v>66</v>
      </c>
      <c r="C13" t="s">
        <v>82</v>
      </c>
      <c r="D13" t="s">
        <v>4</v>
      </c>
      <c r="E13" t="s">
        <v>68</v>
      </c>
      <c r="F13" s="4">
        <v>1</v>
      </c>
      <c r="G13" s="4">
        <v>120</v>
      </c>
      <c r="H13" s="4">
        <v>0</v>
      </c>
      <c r="I13" s="4">
        <v>120</v>
      </c>
      <c r="J13" s="4">
        <v>90</v>
      </c>
      <c r="K13" s="4">
        <v>30</v>
      </c>
      <c r="L13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L1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8"/>
  <sheetViews>
    <sheetView tabSelected="0" workbookViewId="0" showGridLines="false" showRowColHeaders="1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4" defaultColWidth="19" outlineLevelRow="0" outlineLevelCol="0"/>
  <cols>
    <col min="6" max="6" width="60" customWidth="true" style="0"/>
    <col min="5" max="5" width="32" customWidth="true" style="0"/>
    <col min="8" max="8" width="27" customWidth="true" style="0"/>
  </cols>
  <sheetData>
    <row r="1" spans="1:9" customHeight="1" ht="34">
      <c r="A1" s="2" t="s">
        <v>83</v>
      </c>
      <c r="B1" s="2" t="s">
        <v>39</v>
      </c>
      <c r="C1" s="2" t="s">
        <v>56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12</v>
      </c>
    </row>
    <row r="2" spans="1:9">
      <c r="A2">
        <v>1</v>
      </c>
      <c r="B2" s="3">
        <v>46307</v>
      </c>
      <c r="C2" t="s">
        <v>71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s="4">
        <v>1000</v>
      </c>
    </row>
    <row r="3" spans="1:9">
      <c r="A3">
        <v>2</v>
      </c>
      <c r="B3" s="3">
        <v>46307</v>
      </c>
      <c r="C3" t="s">
        <v>71</v>
      </c>
      <c r="D3" t="s">
        <v>89</v>
      </c>
      <c r="E3" t="s">
        <v>90</v>
      </c>
      <c r="F3" t="s">
        <v>94</v>
      </c>
      <c r="G3" t="s">
        <v>92</v>
      </c>
      <c r="H3" t="s">
        <v>93</v>
      </c>
      <c r="I3" s="4">
        <v>3000</v>
      </c>
    </row>
    <row r="4" spans="1:9">
      <c r="A4">
        <v>3</v>
      </c>
      <c r="B4" s="3">
        <v>46308</v>
      </c>
      <c r="C4" t="s">
        <v>71</v>
      </c>
      <c r="D4" t="s">
        <v>95</v>
      </c>
      <c r="E4" t="s">
        <v>90</v>
      </c>
      <c r="F4" t="s">
        <v>96</v>
      </c>
      <c r="G4" t="s">
        <v>97</v>
      </c>
      <c r="H4" t="s">
        <v>93</v>
      </c>
      <c r="I4" s="4">
        <v>1900</v>
      </c>
    </row>
    <row r="5" spans="1:9">
      <c r="A5">
        <v>4</v>
      </c>
      <c r="B5" s="3">
        <v>46308</v>
      </c>
      <c r="C5" t="s">
        <v>71</v>
      </c>
      <c r="D5" t="s">
        <v>98</v>
      </c>
      <c r="E5" t="s">
        <v>99</v>
      </c>
      <c r="F5" t="s">
        <v>100</v>
      </c>
      <c r="G5"/>
      <c r="H5" t="s">
        <v>101</v>
      </c>
      <c r="I5" s="4">
        <v>20</v>
      </c>
    </row>
    <row r="6" spans="1:9">
      <c r="A6">
        <v>5</v>
      </c>
      <c r="B6" s="3">
        <v>46308</v>
      </c>
      <c r="C6" t="s">
        <v>71</v>
      </c>
      <c r="D6" t="s">
        <v>98</v>
      </c>
      <c r="E6" t="s">
        <v>102</v>
      </c>
      <c r="F6" t="s">
        <v>103</v>
      </c>
      <c r="G6"/>
      <c r="H6" t="s">
        <v>104</v>
      </c>
      <c r="I6" s="4">
        <v>20</v>
      </c>
    </row>
    <row r="7" spans="1:9">
      <c r="A7">
        <v>6</v>
      </c>
      <c r="B7" s="3">
        <v>46308</v>
      </c>
      <c r="C7" t="s">
        <v>71</v>
      </c>
      <c r="D7" t="s">
        <v>98</v>
      </c>
      <c r="E7" t="s">
        <v>105</v>
      </c>
      <c r="F7" t="s">
        <v>106</v>
      </c>
      <c r="G7"/>
      <c r="H7" t="s">
        <v>107</v>
      </c>
      <c r="I7" s="4">
        <v>500</v>
      </c>
    </row>
    <row r="8" spans="1:9">
      <c r="A8">
        <v>7</v>
      </c>
      <c r="B8" s="3">
        <v>46308</v>
      </c>
      <c r="C8" t="s">
        <v>71</v>
      </c>
      <c r="D8" t="s">
        <v>89</v>
      </c>
      <c r="E8" t="s">
        <v>105</v>
      </c>
      <c r="F8" t="s">
        <v>108</v>
      </c>
      <c r="G8"/>
      <c r="H8" t="s">
        <v>107</v>
      </c>
      <c r="I8" s="4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8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0" workbookViewId="0" showGridLines="false" showRowColHeaders="1">
      <selection activeCell="A15" sqref="A15:C15"/>
    </sheetView>
  </sheetViews>
  <sheetFormatPr defaultRowHeight="14.4" defaultColWidth="19" outlineLevelRow="0" outlineLevelCol="0"/>
  <cols>
    <col min="1" max="1" width="130" customWidth="true" style="0"/>
    <col min="2" max="2" width="24" customWidth="true" style="0"/>
    <col min="3" max="3" width="22" customWidth="true" style="0"/>
  </cols>
  <sheetData>
    <row r="2" spans="1:3">
      <c r="A2" s="12" t="s">
        <v>109</v>
      </c>
    </row>
    <row r="4" spans="1:3" customHeight="1" ht="34">
      <c r="A4" s="13" t="s">
        <v>110</v>
      </c>
    </row>
    <row r="5" spans="1:3" customHeight="1" ht="34">
      <c r="A5" s="13" t="s">
        <v>111</v>
      </c>
    </row>
    <row r="6" spans="1:3" customHeight="1" ht="34">
      <c r="A6" s="13" t="s">
        <v>112</v>
      </c>
    </row>
    <row r="7" spans="1:3" customHeight="1" ht="34">
      <c r="A7" s="13" t="s">
        <v>113</v>
      </c>
    </row>
    <row r="8" spans="1:3" customHeight="1" ht="34">
      <c r="A8" s="13" t="s">
        <v>114</v>
      </c>
    </row>
    <row r="9" spans="1:3" customHeight="1" ht="34">
      <c r="A9" s="13" t="s">
        <v>115</v>
      </c>
    </row>
    <row r="10" spans="1:3" customHeight="1" ht="34">
      <c r="A10" s="13" t="s">
        <v>116</v>
      </c>
    </row>
    <row r="11" spans="1:3" customHeight="1" ht="34">
      <c r="A11" s="13" t="s">
        <v>117</v>
      </c>
    </row>
    <row r="12" spans="1:3" customHeight="1" ht="34">
      <c r="A12" s="13" t="s">
        <v>118</v>
      </c>
    </row>
    <row r="14" spans="1:3">
      <c r="A14" t="s">
        <v>119</v>
      </c>
    </row>
    <row r="15" spans="1:3" customHeight="1" ht="34">
      <c r="A15" s="2" t="s">
        <v>120</v>
      </c>
      <c r="B15" s="2" t="s">
        <v>121</v>
      </c>
      <c r="C15" s="2" t="s">
        <v>122</v>
      </c>
    </row>
    <row r="16" spans="1:3">
      <c r="A16" t="s">
        <v>123</v>
      </c>
      <c r="B16" t="s">
        <v>93</v>
      </c>
      <c r="C16">
        <v>0</v>
      </c>
    </row>
    <row r="17" spans="1:3">
      <c r="A17" t="s">
        <v>99</v>
      </c>
      <c r="B17" t="s">
        <v>101</v>
      </c>
      <c r="C17">
        <v>20</v>
      </c>
    </row>
    <row r="18" spans="1:3">
      <c r="A18" t="s">
        <v>90</v>
      </c>
      <c r="B18" t="s">
        <v>124</v>
      </c>
      <c r="C18">
        <v>5900</v>
      </c>
    </row>
    <row r="19" spans="1:3">
      <c r="A19" t="s">
        <v>105</v>
      </c>
      <c r="B19" t="s">
        <v>107</v>
      </c>
      <c r="C19">
        <v>800</v>
      </c>
    </row>
    <row r="20" spans="1:3">
      <c r="A20" t="s">
        <v>125</v>
      </c>
      <c r="B20" t="s">
        <v>124</v>
      </c>
      <c r="C2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Diario</vt:lpstr>
      <vt:lpstr>Ventas</vt:lpstr>
      <vt:lpstr>Caja y bancos</vt:lpstr>
      <vt:lpstr>Criterios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2026-10-16T19:03:56+02:00</dcterms:created>
  <dcterms:modified xsi:type="dcterms:W3CDTF">2026-10-16T19:03:56+02:00</dcterms:modified>
  <dc:title>Consolidado gerencial de la empresa</dc:title>
  <dc:description/>
  <dc:subject/>
  <cp:keywords/>
  <cp:category/>
</cp:coreProperties>
</file>